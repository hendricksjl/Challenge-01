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b89fdf005ec2267/Desktop/"/>
    </mc:Choice>
  </mc:AlternateContent>
  <xr:revisionPtr revIDLastSave="325" documentId="8_{A2563945-38B3-4472-AAAC-3056ED5EA448}" xr6:coauthVersionLast="47" xr6:coauthVersionMax="47" xr10:uidLastSave="{C8E44FE9-AC2D-42C9-95AA-E7B15F848D6E}"/>
  <bookViews>
    <workbookView xWindow="14295" yWindow="0" windowWidth="14610" windowHeight="15585" firstSheet="2" activeTab="3" xr2:uid="{00000000-000D-0000-FFFF-FFFF00000000}"/>
  </bookViews>
  <sheets>
    <sheet name="Sheet1" sheetId="2" r:id="rId1"/>
    <sheet name="Sheet2" sheetId="3" r:id="rId2"/>
    <sheet name="Sheet3" sheetId="4" r:id="rId3"/>
    <sheet name="Crowdfunding" sheetId="1" r:id="rId4"/>
    <sheet name="Statistical AnalysisOutcome" sheetId="6" r:id="rId5"/>
  </sheets>
  <definedNames>
    <definedName name="_xlnm._FilterDatabase" localSheetId="3" hidden="1">Crowdfunding!$A$1:$T$1001</definedName>
    <definedName name="_xleta.AVERAGE" hidden="1" xlm="1">#NAME?</definedName>
    <definedName name="_xleta.IF" hidden="1" xlm="1">#NAME?</definedName>
    <definedName name="_xleta.IFS" hidden="1" xlm="1">#NAME?</definedName>
    <definedName name="_xleta.T" hidden="1" xlm="1">#NAME?</definedName>
  </definedNames>
  <calcPr calcId="191029"/>
  <pivotCaches>
    <pivotCache cacheId="39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2" i="6"/>
  <c r="F365" i="6"/>
  <c r="F364" i="6"/>
  <c r="F363" i="6"/>
  <c r="F362" i="6"/>
  <c r="F361" i="6"/>
  <c r="F359" i="6"/>
  <c r="F360" i="6"/>
  <c r="F358" i="6"/>
  <c r="F357" i="6"/>
  <c r="F356" i="6"/>
  <c r="F355" i="6"/>
  <c r="F353" i="6"/>
  <c r="F354" i="6"/>
  <c r="F352" i="6"/>
  <c r="F350" i="6"/>
  <c r="F351" i="6"/>
  <c r="F349" i="6"/>
  <c r="F348" i="6"/>
  <c r="F347" i="6"/>
  <c r="F343" i="6"/>
  <c r="F344" i="6"/>
  <c r="F345" i="6"/>
  <c r="F346" i="6"/>
  <c r="F341" i="6"/>
  <c r="F342" i="6"/>
  <c r="F340" i="6"/>
  <c r="F339" i="6"/>
  <c r="F338" i="6"/>
  <c r="F336" i="6"/>
  <c r="F337" i="6"/>
  <c r="F335" i="6"/>
  <c r="F334" i="6"/>
  <c r="F333" i="6"/>
  <c r="F331" i="6"/>
  <c r="F332" i="6"/>
  <c r="F330" i="6"/>
  <c r="F329" i="6"/>
  <c r="F328" i="6"/>
  <c r="F326" i="6"/>
  <c r="F327" i="6"/>
  <c r="F325" i="6"/>
  <c r="F323" i="6"/>
  <c r="F324" i="6"/>
  <c r="F322" i="6"/>
  <c r="F321" i="6"/>
  <c r="F317" i="6"/>
  <c r="F318" i="6"/>
  <c r="F319" i="6"/>
  <c r="F320" i="6"/>
  <c r="F315" i="6"/>
  <c r="F316" i="6"/>
  <c r="F313" i="6"/>
  <c r="F314" i="6"/>
  <c r="F312" i="6"/>
  <c r="F311" i="6"/>
  <c r="F310" i="6"/>
  <c r="F308" i="6"/>
  <c r="F309" i="6"/>
  <c r="F305" i="6"/>
  <c r="F306" i="6"/>
  <c r="F307" i="6"/>
  <c r="F304" i="6"/>
  <c r="F303" i="6"/>
  <c r="F302" i="6"/>
  <c r="F300" i="6"/>
  <c r="F301" i="6"/>
  <c r="F299" i="6"/>
  <c r="F297" i="6"/>
  <c r="F298" i="6"/>
  <c r="F295" i="6"/>
  <c r="F296" i="6"/>
  <c r="F293" i="6"/>
  <c r="F294" i="6"/>
  <c r="F292" i="6"/>
  <c r="F291" i="6"/>
  <c r="F290" i="6"/>
  <c r="F287" i="6"/>
  <c r="F288" i="6"/>
  <c r="F289" i="6"/>
  <c r="F286" i="6"/>
  <c r="F284" i="6"/>
  <c r="F285" i="6"/>
  <c r="F282" i="6"/>
  <c r="F283" i="6"/>
  <c r="F281" i="6"/>
  <c r="F280" i="6"/>
  <c r="F279" i="6"/>
  <c r="F276" i="6"/>
  <c r="F277" i="6"/>
  <c r="F278" i="6"/>
  <c r="F275" i="6"/>
  <c r="F274" i="6"/>
  <c r="F273" i="6"/>
  <c r="F272" i="6"/>
  <c r="F271" i="6"/>
  <c r="F270" i="6"/>
  <c r="F269" i="6"/>
  <c r="F267" i="6"/>
  <c r="F268" i="6"/>
  <c r="F266" i="6"/>
  <c r="F263" i="6"/>
  <c r="F264" i="6"/>
  <c r="F265" i="6"/>
  <c r="F262" i="6"/>
  <c r="F260" i="6"/>
  <c r="F261" i="6"/>
  <c r="F259" i="6"/>
  <c r="F257" i="6"/>
  <c r="F258" i="6"/>
  <c r="F256" i="6"/>
  <c r="F250" i="6"/>
  <c r="F251" i="6"/>
  <c r="F252" i="6"/>
  <c r="F253" i="6"/>
  <c r="F254" i="6"/>
  <c r="F255" i="6"/>
  <c r="F248" i="6"/>
  <c r="F249" i="6"/>
  <c r="F245" i="6"/>
  <c r="F246" i="6"/>
  <c r="F247" i="6"/>
  <c r="F241" i="6"/>
  <c r="F242" i="6"/>
  <c r="F243" i="6"/>
  <c r="F244" i="6"/>
  <c r="F240" i="6"/>
  <c r="F237" i="6"/>
  <c r="F238" i="6"/>
  <c r="F239" i="6"/>
  <c r="F236" i="6"/>
  <c r="F235" i="6"/>
  <c r="F234" i="6"/>
  <c r="F233" i="6"/>
  <c r="F231" i="6"/>
  <c r="F232" i="6"/>
  <c r="F229" i="6"/>
  <c r="F230" i="6"/>
  <c r="F228" i="6"/>
  <c r="F227" i="6"/>
  <c r="F226" i="6"/>
  <c r="F222" i="6"/>
  <c r="F223" i="6"/>
  <c r="F224" i="6"/>
  <c r="F225" i="6"/>
  <c r="F220" i="6"/>
  <c r="F221" i="6"/>
  <c r="F219" i="6"/>
  <c r="F217" i="6"/>
  <c r="F218" i="6"/>
  <c r="F216" i="6"/>
  <c r="F215" i="6"/>
  <c r="F214" i="6"/>
  <c r="F213" i="6"/>
  <c r="F210" i="6"/>
  <c r="F211" i="6"/>
  <c r="F212" i="6"/>
  <c r="F209" i="6"/>
  <c r="F206" i="6"/>
  <c r="F207" i="6"/>
  <c r="F208" i="6"/>
  <c r="F204" i="6"/>
  <c r="F205" i="6"/>
  <c r="F203" i="6"/>
  <c r="F199" i="6"/>
  <c r="F200" i="6"/>
  <c r="F201" i="6"/>
  <c r="F202" i="6"/>
  <c r="F197" i="6"/>
  <c r="F198" i="6"/>
  <c r="F196" i="6"/>
  <c r="F195" i="6"/>
  <c r="F193" i="6"/>
  <c r="F194" i="6"/>
  <c r="F192" i="6"/>
  <c r="F191" i="6"/>
  <c r="F190" i="6"/>
  <c r="F188" i="6"/>
  <c r="F189" i="6"/>
  <c r="F182" i="6"/>
  <c r="F183" i="6"/>
  <c r="F184" i="6"/>
  <c r="F185" i="6"/>
  <c r="F186" i="6"/>
  <c r="F187" i="6"/>
  <c r="F180" i="6"/>
  <c r="F181" i="6"/>
  <c r="F177" i="6"/>
  <c r="F178" i="6"/>
  <c r="F179" i="6"/>
  <c r="F175" i="6"/>
  <c r="F176" i="6"/>
  <c r="F174" i="6"/>
  <c r="F173" i="6"/>
  <c r="F172" i="6"/>
  <c r="F171" i="6"/>
  <c r="F170" i="6"/>
  <c r="F167" i="6"/>
  <c r="F168" i="6"/>
  <c r="F169" i="6"/>
  <c r="F166" i="6"/>
  <c r="F165" i="6"/>
  <c r="F164" i="6"/>
  <c r="F163" i="6"/>
  <c r="F161" i="6"/>
  <c r="F162" i="6"/>
  <c r="F160" i="6"/>
  <c r="F159" i="6"/>
  <c r="F157" i="6"/>
  <c r="F158" i="6"/>
  <c r="F156" i="6"/>
  <c r="F151" i="6"/>
  <c r="F152" i="6"/>
  <c r="F153" i="6"/>
  <c r="F154" i="6"/>
  <c r="F155" i="6"/>
  <c r="F150" i="6"/>
  <c r="F149" i="6"/>
  <c r="F147" i="6"/>
  <c r="F148" i="6"/>
  <c r="F145" i="6"/>
  <c r="F146" i="6"/>
  <c r="F143" i="6"/>
  <c r="F144" i="6"/>
  <c r="F141" i="6"/>
  <c r="F142" i="6"/>
  <c r="F140" i="6"/>
  <c r="F137" i="6"/>
  <c r="F138" i="6"/>
  <c r="F139" i="6"/>
  <c r="F135" i="6"/>
  <c r="F136" i="6"/>
  <c r="F134" i="6"/>
  <c r="F133" i="6"/>
  <c r="F132" i="6"/>
  <c r="F131" i="6"/>
  <c r="F130" i="6"/>
  <c r="F127" i="6"/>
  <c r="F128" i="6"/>
  <c r="F129" i="6"/>
  <c r="F120" i="6"/>
  <c r="F121" i="6"/>
  <c r="F122" i="6"/>
  <c r="F123" i="6"/>
  <c r="F124" i="6"/>
  <c r="F125" i="6"/>
  <c r="F126" i="6"/>
  <c r="F119" i="6"/>
  <c r="F116" i="6"/>
  <c r="F117" i="6"/>
  <c r="F118" i="6"/>
  <c r="F115" i="6"/>
  <c r="F113" i="6"/>
  <c r="F114" i="6"/>
  <c r="F109" i="6"/>
  <c r="F110" i="6"/>
  <c r="F111" i="6"/>
  <c r="F112" i="6"/>
  <c r="F108" i="6"/>
  <c r="F107" i="6"/>
  <c r="F106" i="6"/>
  <c r="F104" i="6"/>
  <c r="F105" i="6"/>
  <c r="F102" i="6"/>
  <c r="F103" i="6"/>
  <c r="F99" i="6"/>
  <c r="F100" i="6"/>
  <c r="F101" i="6"/>
  <c r="F98" i="6"/>
  <c r="F97" i="6"/>
  <c r="F96" i="6"/>
  <c r="F94" i="6"/>
  <c r="F95" i="6"/>
  <c r="F93" i="6"/>
  <c r="F92" i="6"/>
  <c r="F91" i="6"/>
  <c r="F90" i="6"/>
  <c r="F89" i="6"/>
  <c r="F88" i="6"/>
  <c r="F87" i="6"/>
  <c r="F85" i="6"/>
  <c r="F86" i="6"/>
  <c r="F84" i="6"/>
  <c r="F82" i="6"/>
  <c r="F83" i="6"/>
  <c r="F81" i="6"/>
  <c r="F79" i="6"/>
  <c r="F80" i="6"/>
  <c r="F78" i="6"/>
  <c r="F77" i="6"/>
  <c r="F75" i="6"/>
  <c r="F76" i="6"/>
  <c r="F74" i="6"/>
  <c r="F71" i="6"/>
  <c r="F72" i="6"/>
  <c r="F73" i="6"/>
  <c r="F70" i="6"/>
  <c r="F66" i="6"/>
  <c r="F67" i="6"/>
  <c r="F68" i="6"/>
  <c r="F69" i="6"/>
  <c r="F65" i="6"/>
  <c r="F63" i="6"/>
  <c r="F64" i="6"/>
  <c r="F62" i="6"/>
  <c r="F61" i="6"/>
  <c r="F60" i="6"/>
  <c r="F58" i="6"/>
  <c r="F59" i="6"/>
  <c r="F55" i="6"/>
  <c r="F56" i="6"/>
  <c r="F57" i="6"/>
  <c r="F54" i="6"/>
  <c r="F53" i="6"/>
  <c r="F52" i="6"/>
  <c r="F49" i="6"/>
  <c r="F50" i="6"/>
  <c r="F51" i="6"/>
  <c r="F47" i="6"/>
  <c r="F48" i="6"/>
  <c r="F45" i="6"/>
  <c r="F46" i="6"/>
  <c r="F43" i="6"/>
  <c r="F44" i="6"/>
  <c r="F41" i="6"/>
  <c r="F42" i="6"/>
  <c r="F39" i="6"/>
  <c r="F40" i="6"/>
  <c r="F37" i="6"/>
  <c r="F38" i="6"/>
  <c r="F35" i="6"/>
  <c r="F36" i="6"/>
  <c r="F34" i="6"/>
  <c r="F33" i="6"/>
  <c r="F32" i="6"/>
  <c r="F30" i="6"/>
  <c r="F31" i="6"/>
  <c r="F29" i="6"/>
  <c r="F28" i="6"/>
  <c r="F27" i="6"/>
  <c r="F25" i="6"/>
  <c r="F26" i="6"/>
  <c r="F24" i="6"/>
  <c r="F22" i="6"/>
  <c r="F23" i="6"/>
  <c r="F21" i="6"/>
  <c r="F20" i="6"/>
  <c r="F17" i="6"/>
  <c r="F18" i="6"/>
  <c r="F19" i="6"/>
  <c r="F16" i="6"/>
  <c r="F15" i="6"/>
  <c r="F14" i="6"/>
  <c r="F13" i="6"/>
  <c r="F12" i="6"/>
  <c r="F11" i="6"/>
  <c r="F9" i="6"/>
  <c r="F10" i="6"/>
  <c r="F7" i="6"/>
  <c r="F8" i="6"/>
  <c r="F6" i="6"/>
  <c r="F5" i="6"/>
  <c r="F3" i="6"/>
  <c r="F4" i="6"/>
  <c r="F2" i="6"/>
  <c r="B566" i="6"/>
  <c r="B564" i="6"/>
  <c r="B565" i="6"/>
  <c r="B563" i="6"/>
  <c r="B562" i="6"/>
  <c r="B560" i="6"/>
  <c r="B561" i="6"/>
  <c r="B559" i="6"/>
  <c r="B557" i="6"/>
  <c r="B558" i="6"/>
  <c r="B554" i="6"/>
  <c r="B555" i="6"/>
  <c r="B556" i="6"/>
  <c r="B553" i="6"/>
  <c r="B547" i="6"/>
  <c r="B548" i="6"/>
  <c r="B549" i="6"/>
  <c r="B550" i="6"/>
  <c r="B551" i="6"/>
  <c r="B552" i="6"/>
  <c r="B545" i="6"/>
  <c r="B546" i="6"/>
  <c r="B543" i="6"/>
  <c r="B544" i="6"/>
  <c r="B541" i="6"/>
  <c r="B542" i="6"/>
  <c r="B540" i="6"/>
  <c r="B539" i="6"/>
  <c r="B538" i="6"/>
  <c r="B537" i="6"/>
  <c r="B533" i="6"/>
  <c r="B534" i="6"/>
  <c r="B535" i="6"/>
  <c r="B536" i="6"/>
  <c r="B530" i="6"/>
  <c r="B531" i="6"/>
  <c r="B532" i="6"/>
  <c r="B526" i="6"/>
  <c r="B527" i="6"/>
  <c r="B528" i="6"/>
  <c r="B529" i="6"/>
  <c r="B525" i="6"/>
  <c r="B524" i="6"/>
  <c r="B523" i="6"/>
  <c r="B521" i="6"/>
  <c r="B522" i="6"/>
  <c r="B519" i="6"/>
  <c r="B520" i="6"/>
  <c r="B517" i="6"/>
  <c r="B518" i="6"/>
  <c r="B515" i="6"/>
  <c r="B516" i="6"/>
  <c r="B514" i="6"/>
  <c r="B513" i="6"/>
  <c r="B506" i="6"/>
  <c r="B507" i="6"/>
  <c r="B508" i="6"/>
  <c r="B509" i="6"/>
  <c r="B510" i="6"/>
  <c r="B511" i="6"/>
  <c r="B512" i="6"/>
  <c r="B505" i="6"/>
  <c r="B503" i="6"/>
  <c r="B504" i="6"/>
  <c r="B501" i="6"/>
  <c r="B502" i="6"/>
  <c r="B497" i="6"/>
  <c r="B498" i="6"/>
  <c r="B499" i="6"/>
  <c r="B500" i="6"/>
  <c r="B495" i="6"/>
  <c r="B496" i="6"/>
  <c r="B489" i="6"/>
  <c r="B490" i="6"/>
  <c r="B491" i="6"/>
  <c r="B492" i="6"/>
  <c r="B493" i="6"/>
  <c r="B494" i="6"/>
  <c r="B484" i="6"/>
  <c r="B485" i="6"/>
  <c r="B486" i="6"/>
  <c r="B487" i="6"/>
  <c r="B488" i="6"/>
  <c r="B483" i="6"/>
  <c r="B478" i="6"/>
  <c r="B479" i="6"/>
  <c r="B480" i="6"/>
  <c r="B481" i="6"/>
  <c r="B482" i="6"/>
  <c r="B472" i="6"/>
  <c r="B473" i="6"/>
  <c r="B474" i="6"/>
  <c r="B475" i="6"/>
  <c r="B476" i="6"/>
  <c r="B477" i="6"/>
  <c r="B468" i="6"/>
  <c r="B469" i="6"/>
  <c r="B470" i="6"/>
  <c r="B471" i="6"/>
  <c r="B460" i="6"/>
  <c r="B461" i="6"/>
  <c r="B462" i="6"/>
  <c r="B463" i="6"/>
  <c r="B464" i="6"/>
  <c r="B465" i="6"/>
  <c r="B466" i="6"/>
  <c r="B467" i="6"/>
  <c r="B456" i="6"/>
  <c r="B457" i="6"/>
  <c r="B458" i="6"/>
  <c r="B459" i="6"/>
  <c r="B454" i="6"/>
  <c r="B455" i="6"/>
  <c r="B453" i="6"/>
  <c r="B451" i="6"/>
  <c r="B452" i="6"/>
  <c r="B447" i="6"/>
  <c r="B448" i="6"/>
  <c r="B449" i="6"/>
  <c r="B450" i="6"/>
  <c r="B445" i="6"/>
  <c r="B446" i="6"/>
  <c r="B443" i="6"/>
  <c r="B444" i="6"/>
  <c r="B438" i="6"/>
  <c r="B439" i="6"/>
  <c r="B440" i="6"/>
  <c r="B441" i="6"/>
  <c r="B442" i="6"/>
  <c r="B437" i="6"/>
  <c r="B436" i="6"/>
  <c r="B433" i="6"/>
  <c r="B434" i="6"/>
  <c r="B435" i="6"/>
  <c r="B432" i="6"/>
  <c r="B431" i="6"/>
  <c r="B426" i="6"/>
  <c r="B427" i="6"/>
  <c r="B428" i="6"/>
  <c r="B429" i="6"/>
  <c r="B430" i="6"/>
  <c r="B420" i="6"/>
  <c r="B421" i="6"/>
  <c r="B422" i="6"/>
  <c r="B423" i="6"/>
  <c r="B424" i="6"/>
  <c r="B425" i="6"/>
  <c r="B419" i="6"/>
  <c r="B418" i="6"/>
  <c r="B416" i="6"/>
  <c r="B417" i="6"/>
  <c r="B415" i="6"/>
  <c r="B413" i="6"/>
  <c r="B414" i="6"/>
  <c r="B412" i="6"/>
  <c r="B409" i="6"/>
  <c r="B410" i="6"/>
  <c r="B411" i="6"/>
  <c r="B407" i="6"/>
  <c r="B408" i="6"/>
  <c r="B406" i="6"/>
  <c r="B403" i="6"/>
  <c r="B404" i="6"/>
  <c r="B405" i="6"/>
  <c r="B399" i="6"/>
  <c r="B400" i="6"/>
  <c r="B401" i="6"/>
  <c r="B402" i="6"/>
  <c r="B396" i="6"/>
  <c r="B397" i="6"/>
  <c r="B398" i="6"/>
  <c r="B391" i="6"/>
  <c r="B392" i="6"/>
  <c r="B393" i="6"/>
  <c r="B394" i="6"/>
  <c r="B395" i="6"/>
  <c r="B389" i="6"/>
  <c r="B390" i="6"/>
  <c r="B388" i="6"/>
  <c r="B386" i="6"/>
  <c r="B387" i="6"/>
  <c r="B385" i="6"/>
  <c r="B379" i="6"/>
  <c r="B380" i="6"/>
  <c r="B381" i="6"/>
  <c r="B382" i="6"/>
  <c r="B383" i="6"/>
  <c r="B384" i="6"/>
  <c r="B376" i="6"/>
  <c r="B377" i="6"/>
  <c r="B378" i="6"/>
  <c r="B375" i="6"/>
  <c r="B373" i="6"/>
  <c r="B374" i="6"/>
  <c r="B370" i="6"/>
  <c r="B371" i="6"/>
  <c r="B372" i="6"/>
  <c r="B369" i="6"/>
  <c r="B368" i="6"/>
  <c r="B364" i="6"/>
  <c r="B365" i="6"/>
  <c r="B366" i="6"/>
  <c r="B367" i="6"/>
  <c r="B361" i="6"/>
  <c r="B362" i="6"/>
  <c r="B363" i="6"/>
  <c r="B360" i="6"/>
  <c r="B359" i="6"/>
  <c r="B356" i="6"/>
  <c r="B357" i="6"/>
  <c r="B358" i="6"/>
  <c r="B354" i="6"/>
  <c r="B355" i="6"/>
  <c r="B352" i="6"/>
  <c r="B353" i="6"/>
  <c r="B346" i="6"/>
  <c r="B347" i="6"/>
  <c r="B348" i="6"/>
  <c r="B349" i="6"/>
  <c r="B350" i="6"/>
  <c r="B351" i="6"/>
  <c r="B336" i="6"/>
  <c r="B337" i="6"/>
  <c r="B338" i="6"/>
  <c r="B339" i="6"/>
  <c r="B340" i="6"/>
  <c r="B341" i="6"/>
  <c r="B342" i="6"/>
  <c r="B343" i="6"/>
  <c r="B344" i="6"/>
  <c r="B345" i="6"/>
  <c r="B334" i="6"/>
  <c r="B335" i="6"/>
  <c r="B333" i="6"/>
  <c r="B332" i="6"/>
  <c r="B331" i="6"/>
  <c r="B327" i="6"/>
  <c r="B328" i="6"/>
  <c r="B329" i="6"/>
  <c r="B330" i="6"/>
  <c r="B325" i="6"/>
  <c r="B326" i="6"/>
  <c r="B323" i="6"/>
  <c r="B324" i="6"/>
  <c r="B319" i="6"/>
  <c r="B320" i="6"/>
  <c r="B321" i="6"/>
  <c r="B322" i="6"/>
  <c r="B318" i="6"/>
  <c r="B317" i="6"/>
  <c r="B309" i="6"/>
  <c r="B310" i="6"/>
  <c r="B311" i="6"/>
  <c r="B312" i="6"/>
  <c r="B313" i="6"/>
  <c r="B314" i="6"/>
  <c r="B315" i="6"/>
  <c r="B316" i="6"/>
  <c r="B305" i="6"/>
  <c r="B306" i="6"/>
  <c r="B307" i="6"/>
  <c r="B308" i="6"/>
  <c r="B304" i="6"/>
  <c r="B303" i="6"/>
  <c r="B300" i="6"/>
  <c r="B301" i="6"/>
  <c r="B302" i="6"/>
  <c r="B298" i="6"/>
  <c r="B299" i="6"/>
  <c r="B297" i="6"/>
  <c r="B296" i="6"/>
  <c r="B293" i="6"/>
  <c r="B294" i="6"/>
  <c r="B295" i="6"/>
  <c r="B292" i="6"/>
  <c r="B291" i="6"/>
  <c r="B290" i="6"/>
  <c r="B289" i="6"/>
  <c r="B288" i="6"/>
  <c r="B286" i="6"/>
  <c r="B287" i="6"/>
  <c r="B283" i="6"/>
  <c r="B284" i="6"/>
  <c r="B285" i="6"/>
  <c r="B278" i="6"/>
  <c r="B279" i="6"/>
  <c r="B280" i="6"/>
  <c r="B281" i="6"/>
  <c r="B282" i="6"/>
  <c r="B277" i="6"/>
  <c r="B274" i="6"/>
  <c r="B275" i="6"/>
  <c r="B276" i="6"/>
  <c r="B271" i="6"/>
  <c r="B272" i="6"/>
  <c r="B273" i="6"/>
  <c r="B268" i="6"/>
  <c r="B269" i="6"/>
  <c r="B270" i="6"/>
  <c r="B263" i="6"/>
  <c r="B264" i="6"/>
  <c r="B265" i="6"/>
  <c r="B266" i="6"/>
  <c r="B267" i="6"/>
  <c r="B261" i="6"/>
  <c r="B262" i="6"/>
  <c r="B260" i="6"/>
  <c r="B258" i="6"/>
  <c r="B259" i="6"/>
  <c r="B257" i="6"/>
  <c r="B256" i="6"/>
  <c r="B254" i="6"/>
  <c r="B255" i="6"/>
  <c r="B253" i="6"/>
  <c r="B247" i="6"/>
  <c r="B248" i="6"/>
  <c r="B249" i="6"/>
  <c r="B250" i="6"/>
  <c r="B251" i="6"/>
  <c r="B252" i="6"/>
  <c r="B246" i="6"/>
  <c r="B243" i="6"/>
  <c r="B244" i="6"/>
  <c r="B245" i="6"/>
  <c r="B242" i="6"/>
  <c r="B240" i="6"/>
  <c r="B241" i="6"/>
  <c r="B238" i="6"/>
  <c r="B239" i="6"/>
  <c r="B235" i="6"/>
  <c r="B236" i="6"/>
  <c r="B237" i="6"/>
  <c r="B234" i="6"/>
  <c r="B233" i="6"/>
  <c r="B227" i="6"/>
  <c r="B228" i="6"/>
  <c r="B229" i="6"/>
  <c r="B230" i="6"/>
  <c r="B231" i="6"/>
  <c r="B232" i="6"/>
  <c r="B225" i="6"/>
  <c r="B226" i="6"/>
  <c r="B222" i="6"/>
  <c r="B223" i="6"/>
  <c r="B224" i="6"/>
  <c r="B220" i="6"/>
  <c r="B221" i="6"/>
  <c r="B219" i="6"/>
  <c r="B217" i="6"/>
  <c r="B218" i="6"/>
  <c r="B214" i="6"/>
  <c r="B215" i="6"/>
  <c r="B216" i="6"/>
  <c r="B206" i="6"/>
  <c r="B207" i="6"/>
  <c r="B208" i="6"/>
  <c r="B209" i="6"/>
  <c r="B210" i="6"/>
  <c r="B211" i="6"/>
  <c r="B212" i="6"/>
  <c r="B213" i="6"/>
  <c r="B205" i="6"/>
  <c r="B203" i="6"/>
  <c r="B204" i="6"/>
  <c r="B202" i="6"/>
  <c r="B201" i="6"/>
  <c r="B199" i="6"/>
  <c r="B200" i="6"/>
  <c r="B193" i="6"/>
  <c r="B194" i="6"/>
  <c r="B195" i="6"/>
  <c r="B196" i="6"/>
  <c r="B197" i="6"/>
  <c r="B198" i="6"/>
  <c r="B192" i="6"/>
  <c r="B191" i="6"/>
  <c r="B190" i="6"/>
  <c r="B186" i="6"/>
  <c r="B187" i="6"/>
  <c r="B188" i="6"/>
  <c r="B189" i="6"/>
  <c r="B185" i="6"/>
  <c r="B183" i="6"/>
  <c r="B184" i="6"/>
  <c r="B182" i="6"/>
  <c r="B181" i="6"/>
  <c r="B180" i="6"/>
  <c r="B179" i="6"/>
  <c r="B178" i="6"/>
  <c r="B177" i="6"/>
  <c r="B176" i="6"/>
  <c r="B175" i="6"/>
  <c r="B171" i="6"/>
  <c r="B172" i="6"/>
  <c r="B173" i="6"/>
  <c r="B174" i="6"/>
  <c r="B170" i="6"/>
  <c r="B168" i="6"/>
  <c r="B169" i="6"/>
  <c r="B165" i="6"/>
  <c r="B166" i="6"/>
  <c r="B167" i="6"/>
  <c r="B161" i="6"/>
  <c r="B162" i="6"/>
  <c r="B163" i="6"/>
  <c r="B164" i="6"/>
  <c r="B157" i="6"/>
  <c r="B158" i="6"/>
  <c r="B159" i="6"/>
  <c r="B160" i="6"/>
  <c r="B155" i="6"/>
  <c r="B156" i="6"/>
  <c r="B154" i="6"/>
  <c r="B144" i="6"/>
  <c r="B145" i="6"/>
  <c r="B146" i="6"/>
  <c r="B147" i="6"/>
  <c r="B148" i="6"/>
  <c r="B149" i="6"/>
  <c r="B150" i="6"/>
  <c r="B151" i="6"/>
  <c r="B152" i="6"/>
  <c r="B153" i="6"/>
  <c r="B142" i="6"/>
  <c r="B143" i="6"/>
  <c r="B139" i="6"/>
  <c r="B140" i="6"/>
  <c r="B141" i="6"/>
  <c r="B132" i="6"/>
  <c r="B133" i="6"/>
  <c r="B134" i="6"/>
  <c r="B135" i="6"/>
  <c r="B136" i="6"/>
  <c r="B137" i="6"/>
  <c r="B138" i="6"/>
  <c r="B131" i="6"/>
  <c r="B129" i="6"/>
  <c r="B130" i="6"/>
  <c r="B128" i="6"/>
  <c r="B125" i="6"/>
  <c r="B126" i="6"/>
  <c r="B127" i="6"/>
  <c r="B123" i="6"/>
  <c r="B124" i="6"/>
  <c r="B122" i="6"/>
  <c r="B121" i="6"/>
  <c r="B120" i="6"/>
  <c r="B119" i="6"/>
  <c r="B117" i="6"/>
  <c r="B118" i="6"/>
  <c r="B116" i="6"/>
  <c r="B115" i="6"/>
  <c r="B114" i="6"/>
  <c r="B112" i="6"/>
  <c r="B113" i="6"/>
  <c r="B111" i="6"/>
  <c r="B109" i="6"/>
  <c r="B110" i="6"/>
  <c r="B108" i="6"/>
  <c r="B102" i="6"/>
  <c r="B103" i="6"/>
  <c r="B104" i="6"/>
  <c r="B105" i="6"/>
  <c r="B106" i="6"/>
  <c r="B107" i="6"/>
  <c r="B99" i="6"/>
  <c r="B100" i="6"/>
  <c r="B101" i="6"/>
  <c r="B98" i="6"/>
  <c r="B95" i="6"/>
  <c r="B96" i="6"/>
  <c r="B97" i="6"/>
  <c r="B89" i="6"/>
  <c r="B90" i="6"/>
  <c r="B91" i="6"/>
  <c r="B92" i="6"/>
  <c r="B93" i="6"/>
  <c r="B94" i="6"/>
  <c r="B88" i="6"/>
  <c r="B84" i="6"/>
  <c r="B85" i="6"/>
  <c r="B86" i="6"/>
  <c r="B87" i="6"/>
  <c r="B82" i="6"/>
  <c r="B83" i="6"/>
  <c r="B77" i="6"/>
  <c r="B78" i="6"/>
  <c r="B79" i="6"/>
  <c r="B80" i="6"/>
  <c r="B81" i="6"/>
  <c r="B73" i="6"/>
  <c r="B74" i="6"/>
  <c r="B75" i="6"/>
  <c r="B76" i="6"/>
  <c r="B68" i="6"/>
  <c r="B69" i="6"/>
  <c r="B70" i="6"/>
  <c r="B71" i="6"/>
  <c r="B72" i="6"/>
  <c r="B66" i="6"/>
  <c r="B67" i="6"/>
  <c r="B65" i="6"/>
  <c r="B61" i="6"/>
  <c r="B62" i="6"/>
  <c r="B63" i="6"/>
  <c r="B64" i="6"/>
  <c r="B60" i="6"/>
  <c r="B58" i="6"/>
  <c r="B59" i="6"/>
  <c r="B55" i="6"/>
  <c r="B56" i="6"/>
  <c r="B57" i="6"/>
  <c r="B52" i="6"/>
  <c r="B53" i="6"/>
  <c r="B54" i="6"/>
  <c r="B51" i="6"/>
  <c r="B45" i="6"/>
  <c r="B46" i="6"/>
  <c r="B47" i="6"/>
  <c r="B48" i="6"/>
  <c r="B49" i="6"/>
  <c r="B50" i="6"/>
  <c r="B43" i="6"/>
  <c r="B44" i="6"/>
  <c r="B42" i="6"/>
  <c r="B41" i="6"/>
  <c r="B35" i="6"/>
  <c r="B36" i="6"/>
  <c r="B37" i="6"/>
  <c r="B38" i="6"/>
  <c r="B39" i="6"/>
  <c r="B40" i="6"/>
  <c r="B34" i="6"/>
  <c r="B30" i="6"/>
  <c r="B31" i="6"/>
  <c r="B32" i="6"/>
  <c r="B33" i="6"/>
  <c r="B25" i="6"/>
  <c r="B26" i="6"/>
  <c r="B27" i="6"/>
  <c r="B28" i="6"/>
  <c r="B29" i="6"/>
  <c r="B19" i="6"/>
  <c r="B20" i="6"/>
  <c r="B21" i="6"/>
  <c r="B22" i="6"/>
  <c r="B23" i="6"/>
  <c r="B24" i="6"/>
  <c r="B15" i="6"/>
  <c r="B16" i="6"/>
  <c r="B17" i="6"/>
  <c r="B18" i="6"/>
  <c r="B11" i="6"/>
  <c r="B12" i="6"/>
  <c r="B13" i="6"/>
  <c r="B14" i="6"/>
  <c r="B10" i="6"/>
  <c r="B8" i="6"/>
  <c r="B9" i="6"/>
  <c r="B7" i="6"/>
  <c r="B6" i="6"/>
  <c r="B5" i="6"/>
  <c r="B4" i="6"/>
  <c r="A2" i="6"/>
  <c r="B2" i="6"/>
  <c r="B3" i="6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" i="1" a="1"/>
  <c r="S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D4" i="6" l="1"/>
  <c r="H6" i="6"/>
  <c r="H7" i="6"/>
  <c r="D5" i="6"/>
  <c r="D7" i="6"/>
  <c r="D6" i="6"/>
  <c r="H2" i="6"/>
  <c r="H3" i="6"/>
  <c r="D2" i="6"/>
  <c r="H4" i="6"/>
  <c r="D3" i="6"/>
  <c r="H5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<sst xmlns="http://schemas.openxmlformats.org/spreadsheetml/2006/main" count="6117" uniqueCount="2094">
  <si>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</si>
  <si>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</si>
  <si>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</si>
  <si>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</si>
  <si>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</si>
  <si>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</si>
  <si>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</si>
  <si>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</si>
  <si>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</si>
  <si>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</si>
  <si>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</si>
  <si>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</si>
  <si>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</si>
  <si>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</si>
  <si>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</si>
  <si>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</si>
  <si>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</si>
  <si>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</si>
  <si>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</si>
  <si>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</si>
  <si>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</si>
  <si>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</si>
  <si>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</si>
  <si>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</si>
  <si>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</si>
  <si>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</si>
  <si>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</si>
  <si>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</si>
  <si>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</si>
  <si>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</si>
  <si>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</si>
  <si>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</si>
  <si>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</si>
  <si>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</si>
  <si>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</si>
  <si>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</si>
  <si>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</si>
  <si>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</si>
  <si>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</si>
  <si>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</si>
  <si>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</si>
  <si>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</si>
  <si>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</si>
  <si>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</si>
  <si>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</si>
  <si>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</si>
  <si>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</si>
  <si>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</si>
  <si>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</si>
  <si>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</si>
  <si>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</si>
  <si>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</si>
  <si>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</si>
  <si>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</si>
  <si>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</si>
  <si>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</si>
  <si>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</si>
  <si>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</si>
  <si>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</si>
  <si>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</si>
  <si>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</si>
  <si>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</si>
  <si>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</si>
  <si>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</si>
  <si>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</si>
  <si>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</si>
  <si>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</si>
  <si>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</si>
  <si>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</si>
  <si>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</si>
  <si>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</si>
  <si>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</si>
  <si>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</si>
  <si>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</si>
  <si>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</si>
  <si>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</si>
  <si>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</si>
  <si>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</si>
  <si>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</si>
  <si>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</si>
  <si>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</si>
  <si>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</si>
  <si>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</si>
  <si>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</si>
  <si>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</si>
  <si>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</si>
  <si>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</si>
  <si>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</si>
  <si>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</si>
  <si>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</si>
  <si>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</si>
  <si>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</si>
  <si>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</si>
  <si>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</si>
  <si>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</si>
  <si>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</si>
  <si>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</si>
  <si>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</si>
  <si>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</si>
  <si>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</si>
  <si>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</si>
  <si>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</si>
  <si>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</si>
  <si>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</si>
  <si>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</si>
  <si>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</si>
  <si>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</si>
  <si>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</si>
  <si>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</si>
  <si>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</si>
  <si>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</si>
  <si>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</si>
  <si>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</si>
  <si>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</si>
  <si>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</si>
  <si>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</si>
  <si>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</si>
  <si>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</si>
  <si>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</si>
  <si>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</si>
  <si>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</si>
  <si>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</si>
  <si>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</si>
  <si>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</si>
  <si>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</si>
  <si>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</si>
  <si>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</si>
  <si>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</si>
  <si>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</si>
  <si>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</si>
  <si>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</si>
  <si>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</si>
  <si>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</si>
  <si>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</si>
  <si>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</si>
  <si>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</si>
  <si>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</si>
  <si>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</si>
  <si>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</si>
  <si>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</si>
  <si>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</si>
  <si>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</si>
  <si>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</si>
  <si>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</si>
  <si>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</si>
  <si>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</si>
  <si>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</si>
  <si>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</si>
  <si>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</si>
  <si>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</si>
  <si>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</si>
  <si>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</si>
  <si>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</si>
  <si>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</si>
  <si>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</si>
  <si>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</si>
  <si>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</si>
  <si>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</si>
  <si>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</si>
  <si>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</si>
  <si>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</si>
  <si>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</si>
  <si>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</si>
  <si>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</si>
  <si>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</si>
  <si>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</si>
  <si>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</si>
  <si>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</si>
  <si>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</si>
  <si>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</si>
  <si>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</si>
  <si>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</si>
  <si>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</si>
  <si>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</si>
  <si>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</si>
  <si>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</si>
  <si>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</si>
  <si>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</si>
  <si>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</si>
  <si>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</si>
  <si>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</si>
  <si>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</si>
  <si>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</si>
  <si>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</si>
  <si>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</si>
  <si>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</si>
  <si>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</si>
  <si>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</si>
  <si>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</si>
  <si>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</si>
  <si>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</si>
  <si>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</si>
  <si>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</si>
  <si>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</si>
  <si>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</si>
  <si>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</si>
  <si>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</si>
  <si>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</si>
  <si>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</si>
  <si>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</si>
  <si>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</si>
  <si>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</si>
  <si>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</si>
  <si>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</si>
  <si>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</si>
  <si>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</si>
  <si>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</si>
  <si>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</si>
  <si>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</si>
  <si>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</si>
  <si>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</si>
  <si>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</si>
  <si>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</si>
  <si>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</si>
  <si>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</si>
  <si>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</si>
  <si>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</si>
  <si>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</si>
  <si>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</si>
  <si>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</si>
  <si>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</si>
  <si>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</si>
  <si>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</si>
  <si>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</si>
  <si>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</si>
  <si>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</si>
  <si>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</si>
  <si>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</si>
  <si>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</si>
  <si>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</si>
  <si>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</si>
  <si>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</si>
  <si>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</si>
  <si>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</si>
  <si>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</si>
  <si>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</si>
  <si>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</si>
  <si>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</si>
  <si>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</si>
  <si>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</si>
  <si>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</si>
  <si>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</si>
  <si>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</si>
  <si>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</si>
  <si>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</si>
  <si>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</si>
  <si>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</si>
  <si>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</si>
  <si>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</si>
  <si>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</si>
  <si>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</si>
  <si>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</si>
  <si>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</si>
  <si>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</si>
  <si>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</si>
  <si>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</si>
  <si>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</si>
  <si>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</si>
  <si>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</si>
  <si>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</si>
  <si>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</si>
  <si>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</si>
  <si>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</si>
  <si>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</si>
  <si>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</si>
  <si>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</si>
  <si>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</si>
  <si>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</si>
  <si>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</si>
  <si>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</si>
  <si>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</si>
  <si>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</si>
  <si>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</si>
  <si>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</si>
  <si>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</si>
  <si>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</si>
  <si>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</si>
  <si>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</si>
  <si>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</si>
  <si>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</si>
  <si>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</si>
  <si>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</si>
  <si>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</si>
  <si>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</si>
  <si>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</si>
  <si>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</si>
  <si>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</si>
  <si>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</si>
  <si>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</si>
  <si>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</si>
  <si>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</si>
  <si>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</si>
  <si>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</si>
  <si>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</si>
  <si>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</si>
  <si>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</si>
  <si>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</si>
  <si>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</si>
  <si>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</si>
  <si>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</si>
  <si>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</si>
  <si>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</si>
  <si>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</si>
  <si>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</si>
  <si>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</si>
  <si>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</si>
  <si>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</si>
  <si>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</si>
  <si>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</si>
  <si>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</si>
  <si>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</si>
  <si>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</si>
  <si>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</si>
  <si>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</si>
  <si>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</si>
  <si>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</si>
  <si>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</si>
  <si>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</si>
  <si>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</si>
  <si>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</si>
  <si>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</si>
  <si>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</si>
  <si>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</si>
  <si>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</si>
  <si>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</si>
  <si>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</si>
  <si>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</si>
  <si>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</si>
  <si>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</si>
  <si>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</si>
  <si>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</si>
  <si>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</si>
  <si>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</si>
  <si>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</si>
  <si>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</si>
  <si>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</si>
  <si>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</si>
  <si>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</si>
  <si>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</si>
  <si>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</si>
  <si>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</si>
  <si>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</si>
  <si>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</si>
  <si>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</si>
  <si>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</si>
  <si>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</si>
  <si>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</si>
  <si>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</si>
  <si>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</si>
  <si>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</si>
  <si>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</si>
  <si>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</si>
  <si>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</si>
  <si>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</si>
  <si>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</si>
  <si>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</si>
  <si>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</si>
  <si>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</si>
  <si>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</si>
  <si>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</si>
  <si>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</si>
  <si>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</si>
  <si>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</si>
  <si>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</si>
  <si>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</si>
  <si>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</si>
  <si>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</si>
  <si>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</si>
  <si>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</si>
  <si>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</si>
  <si>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</si>
  <si>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</si>
  <si>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</si>
  <si>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</si>
  <si>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</si>
  <si>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</si>
  <si>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</si>
  <si>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</si>
  <si>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</si>
  <si>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</si>
  <si>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</si>
  <si>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</si>
  <si>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</si>
  <si>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</si>
  <si>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</si>
  <si>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</si>
  <si>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</si>
  <si>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</si>
  <si>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</si>
  <si>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</si>
  <si>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</si>
  <si>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</si>
  <si>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</si>
  <si>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</si>
  <si>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</si>
  <si>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</si>
  <si>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</si>
  <si>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</si>
  <si>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</si>
  <si>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</si>
  <si>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</si>
  <si>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</si>
  <si>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</si>
  <si>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</si>
  <si>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</si>
  <si>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</si>
  <si>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</si>
  <si>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</si>
  <si>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</si>
  <si>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</si>
  <si>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</si>
  <si>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</si>
  <si>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</si>
  <si>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</si>
  <si>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</si>
  <si>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</si>
  <si>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</si>
  <si>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</si>
  <si>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</si>
  <si>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</si>
  <si>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</si>
  <si>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</si>
  <si>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</si>
  <si>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</si>
  <si>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</si>
  <si>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</si>
  <si>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</si>
  <si>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</si>
  <si>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</si>
  <si>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</si>
  <si>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</si>
  <si>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</si>
  <si>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</si>
  <si>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</si>
  <si>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</si>
  <si>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</si>
  <si>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</si>
  <si>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</si>
  <si>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</si>
  <si>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</si>
  <si>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</si>
  <si>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</si>
  <si>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</si>
  <si>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</si>
  <si>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</si>
  <si>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</si>
  <si>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</si>
  <si>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</si>
  <si>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</si>
  <si>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</si>
  <si>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</si>
  <si>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</si>
  <si>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</si>
  <si>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</si>
  <si>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</si>
  <si>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</si>
  <si>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</si>
  <si>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</si>
  <si>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</si>
  <si>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</si>
  <si>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</si>
  <si>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</si>
  <si>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</si>
  <si>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</si>
  <si>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</si>
  <si>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</si>
  <si>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</si>
  <si>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</si>
  <si>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</si>
  <si>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</si>
  <si>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</si>
  <si>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</si>
  <si>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</si>
  <si>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</si>
  <si>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</si>
  <si>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</si>
  <si>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</si>
  <si>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</si>
  <si>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</si>
  <si>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</si>
  <si>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</si>
  <si>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</si>
  <si>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</si>
  <si>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</si>
  <si>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</si>
  <si>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</si>
  <si>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</si>
  <si>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</si>
  <si>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</si>
  <si>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</si>
  <si>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</si>
  <si>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</si>
  <si>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</si>
  <si>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</si>
  <si>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</si>
  <si>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</si>
  <si>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</si>
  <si>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</si>
  <si>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</si>
  <si>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</si>
  <si>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</si>
  <si>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</si>
  <si>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</si>
  <si>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</si>
  <si>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</si>
  <si>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</si>
  <si>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</si>
  <si>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</si>
  <si>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</si>
  <si>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</si>
  <si>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</si>
  <si>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</si>
  <si>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</si>
  <si>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</si>
  <si>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</si>
  <si>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</si>
  <si>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</si>
  <si>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</si>
  <si>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</si>
  <si>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</si>
  <si>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</si>
  <si>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</si>
  <si>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</si>
  <si>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</si>
  <si>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</si>
  <si>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</si>
  <si>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</si>
  <si>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</si>
  <si>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</si>
  <si>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</si>
  <si>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</si>
  <si>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</si>
  <si>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</si>
  <si>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</si>
  <si>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</si>
  <si>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</si>
  <si>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</si>
  <si>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</si>
  <si>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</si>
  <si>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</si>
  <si>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</si>
  <si>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</si>
  <si>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</si>
  <si>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</si>
  <si>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</si>
  <si>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</si>
  <si>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</si>
  <si>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</si>
  <si>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</si>
  <si>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</si>
  <si>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</si>
  <si>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</si>
  <si>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</si>
  <si>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</si>
  <si>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</si>
  <si>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</si>
  <si>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</si>
  <si>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</si>
  <si>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</si>
  <si>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</si>
  <si>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</si>
  <si>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</si>
  <si>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</si>
  <si>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</si>
  <si>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</si>
  <si>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</si>
  <si>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</si>
  <si>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</si>
  <si>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</si>
  <si>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</si>
  <si>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</si>
  <si>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</si>
  <si>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</si>
  <si>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</si>
  <si>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</si>
  <si>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</si>
  <si>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</si>
  <si>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</si>
  <si>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</si>
  <si>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</si>
  <si>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</si>
  <si>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</si>
  <si>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</si>
  <si>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</si>
  <si>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</si>
  <si>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</si>
  <si>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</si>
  <si>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</si>
  <si>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</si>
  <si>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</si>
  <si>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</si>
  <si>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</si>
  <si>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</si>
  <si>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</si>
  <si>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</si>
  <si>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</si>
  <si>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</si>
  <si>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</si>
  <si>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</si>
  <si>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</si>
  <si>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</si>
  <si>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</si>
  <si>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</si>
  <si>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</si>
  <si>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</si>
  <si>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</si>
  <si>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</si>
  <si>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</si>
  <si>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</si>
  <si>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</si>
  <si>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</si>
  <si>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</si>
  <si>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</si>
  <si>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</si>
  <si>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</si>
  <si>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</si>
  <si>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</si>
  <si>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</si>
  <si>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</si>
  <si>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</si>
  <si>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</si>
  <si>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</si>
  <si>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</si>
  <si>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</si>
  <si>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</si>
  <si>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</si>
  <si>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</si>
  <si>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</si>
  <si>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</si>
  <si>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</si>
  <si>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</si>
  <si>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</si>
  <si>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</si>
  <si>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</si>
  <si>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</si>
  <si>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</si>
  <si>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</si>
  <si>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</si>
  <si>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</si>
  <si>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</si>
  <si>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</si>
  <si>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</si>
  <si>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</si>
  <si>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</si>
  <si>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</si>
  <si>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</si>
  <si>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</si>
  <si>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</si>
  <si>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</si>
  <si>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</si>
  <si>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</si>
  <si>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</si>
  <si>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</si>
  <si>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</si>
  <si>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</si>
  <si>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</si>
  <si>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</si>
  <si>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</si>
  <si>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</si>
  <si>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</si>
  <si>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</si>
  <si>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</si>
  <si>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</si>
  <si>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</si>
  <si>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</si>
  <si>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</si>
  <si>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</si>
  <si>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</si>
  <si>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</si>
  <si>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</si>
  <si>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</si>
  <si>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</si>
  <si>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</si>
  <si>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</si>
  <si>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</si>
  <si>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</si>
  <si>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</si>
  <si>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</si>
  <si>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</si>
  <si>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</si>
  <si>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</si>
  <si>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</si>
  <si>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</si>
  <si>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</si>
  <si>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</si>
  <si>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</si>
  <si>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</si>
  <si>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</si>
  <si>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</si>
  <si>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</si>
  <si>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</si>
  <si>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</si>
  <si>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</si>
  <si>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</si>
  <si>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</si>
  <si>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</si>
  <si>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</si>
  <si>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</si>
  <si>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</si>
  <si>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</si>
  <si>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</si>
  <si>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</si>
  <si>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</si>
  <si>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</si>
  <si>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</si>
  <si>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</si>
  <si>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</si>
  <si>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</si>
  <si>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</si>
  <si>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</si>
  <si>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</si>
  <si>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</si>
  <si>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</si>
  <si>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</si>
  <si>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</si>
  <si>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</si>
  <si>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</si>
  <si>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</si>
  <si>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</si>
  <si>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</si>
  <si>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</si>
  <si>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</si>
  <si>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</si>
  <si>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</si>
  <si>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</si>
  <si>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</si>
  <si>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</si>
  <si>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</si>
  <si>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</si>
  <si>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</si>
  <si>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</si>
  <si>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</si>
  <si>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</si>
  <si>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</si>
  <si>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</si>
  <si>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</si>
  <si>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</si>
  <si>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</si>
  <si>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</si>
  <si>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</si>
  <si>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</si>
  <si>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</si>
  <si>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</si>
  <si>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</si>
  <si>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</si>
  <si>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</si>
  <si>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</si>
  <si>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</si>
  <si>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</si>
  <si>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</si>
  <si>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</si>
  <si>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</si>
  <si>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</si>
  <si>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</si>
  <si>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</si>
  <si>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</si>
  <si>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</si>
  <si>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</si>
  <si>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</si>
  <si>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</si>
  <si>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</si>
  <si>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</si>
  <si>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</si>
  <si>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</si>
  <si>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</si>
  <si>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</si>
  <si>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</si>
  <si>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</si>
  <si>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</si>
  <si>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</si>
  <si>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</si>
  <si>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</si>
  <si>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</si>
  <si>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</si>
  <si>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</si>
  <si>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</si>
  <si>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</si>
  <si>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</si>
  <si>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</si>
  <si>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</si>
  <si>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</si>
  <si>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</si>
  <si>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</si>
  <si>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</si>
  <si>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</si>
  <si>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</si>
  <si>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</si>
  <si>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</si>
  <si>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</si>
  <si>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</si>
  <si>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</si>
  <si>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</si>
  <si>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</si>
  <si>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</si>
  <si>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</si>
  <si>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</si>
  <si>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</si>
  <si>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</si>
  <si>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</si>
  <si>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</si>
  <si>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</si>
  <si>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</si>
  <si>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</si>
  <si>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</si>
  <si>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</si>
  <si>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</si>
  <si>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</si>
  <si>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</si>
  <si>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</si>
  <si>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</si>
  <si>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</si>
  <si>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</si>
  <si>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</si>
  <si>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</si>
  <si>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</si>
  <si>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</si>
  <si>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</si>
  <si>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</si>
  <si>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</si>
  <si>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</si>
  <si>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</si>
  <si>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</si>
  <si>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</si>
  <si>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</si>
  <si>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</si>
  <si>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</si>
  <si>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</si>
  <si>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</si>
  <si>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</si>
  <si>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</si>
  <si>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</si>
  <si>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</si>
  <si>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</si>
  <si>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</si>
  <si>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</si>
  <si>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</si>
  <si>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</si>
  <si>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</si>
  <si>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</si>
  <si>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</si>
  <si>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</si>
  <si>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</si>
  <si>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</si>
  <si>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</si>
  <si>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</si>
  <si>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</si>
  <si>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</si>
  <si>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</si>
  <si>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</si>
  <si>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</si>
  <si>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</si>
  <si>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</si>
  <si>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</si>
  <si>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</si>
  <si>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</si>
  <si>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</si>
  <si>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</si>
  <si>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</si>
  <si>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</si>
  <si>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</si>
  <si>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</si>
  <si>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</si>
  <si>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</si>
  <si>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</si>
  <si>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</si>
  <si>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</si>
  <si>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</si>
  <si>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</si>
  <si>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</si>
  <si>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</si>
  <si>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</si>
  <si>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</si>
  <si>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</si>
  <si>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</si>
  <si>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</si>
  <si>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</si>
  <si>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</si>
  <si>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</si>
  <si>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</si>
  <si>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</si>
  <si>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</si>
  <si>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</si>
  <si>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</si>
  <si>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</si>
  <si>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</si>
  <si>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</si>
  <si>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</si>
  <si>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</si>
  <si>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</si>
  <si>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</si>
  <si>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</si>
  <si>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</si>
  <si>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</si>
  <si>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</si>
  <si>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</si>
  <si>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</si>
  <si>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</si>
  <si>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</si>
  <si>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</si>
  <si>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</si>
  <si>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</si>
  <si>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</si>
  <si>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</si>
  <si>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</si>
  <si>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</si>
  <si>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</si>
  <si>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</si>
  <si>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</si>
  <si>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</si>
  <si>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</si>
  <si>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</si>
  <si>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</si>
  <si>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</si>
  <si>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</si>
  <si>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</si>
  <si>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</si>
  <si>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</si>
  <si>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</si>
  <si>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</si>
  <si>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</si>
  <si>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</si>
  <si>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</si>
  <si>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</si>
  <si>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</si>
  <si>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</si>
  <si>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</si>
  <si>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</si>
  <si>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</si>
  <si>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</si>
  <si>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</si>
  <si>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</si>
  <si>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</si>
  <si>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</si>
  <si>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</si>
  <si>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</si>
  <si>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</si>
  <si>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</si>
  <si>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</si>
  <si>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</si>
  <si>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</si>
  <si>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</si>
  <si>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</si>
  <si>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</si>
  <si>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</si>
  <si>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</si>
  <si>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</si>
  <si>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</si>
  <si>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</si>
  <si>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</si>
  <si>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</si>
  <si>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</si>
  <si>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</si>
  <si>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</si>
  <si>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</si>
  <si>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</si>
  <si>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</si>
  <si>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</si>
  <si>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</si>
  <si>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</si>
  <si>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</si>
  <si>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</si>
  <si>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</si>
  <si>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</si>
  <si>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</si>
  <si>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</si>
  <si>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</si>
  <si>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</si>
  <si>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</si>
  <si>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</si>
  <si>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</si>
  <si>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</si>
  <si>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</si>
  <si>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</si>
  <si>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</si>
  <si>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</si>
  <si>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</si>
  <si>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</si>
  <si>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</si>
  <si>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</si>
  <si>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</si>
  <si>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</si>
  <si>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</si>
  <si>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</si>
  <si>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</si>
  <si>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</si>
  <si>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</si>
  <si>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</si>
  <si>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</si>
  <si>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</si>
  <si>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</si>
  <si>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</si>
  <si>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</si>
  <si>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</si>
  <si>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</si>
  <si>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</si>
  <si>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</si>
  <si>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</si>
  <si>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</si>
  <si>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</si>
  <si>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</si>
  <si>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</si>
  <si>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</si>
  <si>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</si>
  <si>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</si>
  <si>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</si>
  <si>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</si>
  <si>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</si>
  <si>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</si>
  <si>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</si>
  <si>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</si>
  <si>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</si>
  <si>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</si>
  <si>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</si>
  <si>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</si>
  <si>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</si>
  <si>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</si>
  <si>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</si>
  <si>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</si>
  <si>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</si>
  <si>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</si>
  <si>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</si>
  <si>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</si>
  <si>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</si>
  <si>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</si>
  <si>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</si>
  <si>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</si>
  <si>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</si>
  <si>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</si>
  <si>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</si>
  <si>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</si>
  <si>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</si>
  <si>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</si>
  <si>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</si>
  <si>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</si>
  <si>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</si>
  <si>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</si>
  <si>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</si>
  <si>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</si>
  <si>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</si>
  <si>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</si>
  <si>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</si>
  <si>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</si>
  <si>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</si>
  <si>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</si>
  <si>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</si>
  <si>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</si>
  <si>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</si>
  <si>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</si>
  <si>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</si>
  <si>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</si>
  <si>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</si>
  <si>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</si>
  <si>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</si>
  <si>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</si>
  <si>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</si>
  <si>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</si>
  <si>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</si>
  <si>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</si>
  <si>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</si>
  <si>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</si>
  <si>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</si>
  <si>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</si>
  <si>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</si>
  <si>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</si>
  <si>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</si>
  <si>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</si>
  <si>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</si>
  <si>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</si>
  <si>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</si>
  <si>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</si>
  <si>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</si>
  <si>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</si>
  <si>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</si>
  <si>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</si>
  <si>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</si>
  <si>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</si>
  <si>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</si>
  <si>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</si>
  <si>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</si>
  <si>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</si>
  <si>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</si>
  <si>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</si>
  <si>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</si>
  <si>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</si>
  <si>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</si>
  <si>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</si>
  <si>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</si>
  <si>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</si>
  <si>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</si>
  <si>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</si>
  <si>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</si>
  <si>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</si>
  <si>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</si>
  <si>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</si>
  <si>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</si>
  <si>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</si>
  <si>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</si>
  <si>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</si>
  <si>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</si>
  <si>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</si>
  <si>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</si>
  <si>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</si>
  <si>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</si>
  <si>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</si>
  <si>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</si>
  <si>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</si>
  <si>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</si>
  <si>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</si>
  <si>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</si>
  <si>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</si>
  <si>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</si>
  <si>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</si>
  <si>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</si>
  <si>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</si>
  <si>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</si>
  <si>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</si>
  <si>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</si>
  <si>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</si>
  <si>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</si>
  <si>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</si>
  <si>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</si>
  <si>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</si>
  <si>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</si>
  <si>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</si>
  <si>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</si>
  <si>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</si>
  <si>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</si>
  <si>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</si>
  <si>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</si>
  <si>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</si>
  <si>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</si>
  <si>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</si>
  <si>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</si>
  <si>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</si>
  <si>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</si>
  <si>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</si>
  <si>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</si>
  <si>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</si>
  <si>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</si>
  <si>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</si>
  <si>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</si>
  <si>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</si>
  <si>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</si>
  <si>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</si>
  <si>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</si>
  <si>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</si>
  <si>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</si>
  <si>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</si>
  <si>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</si>
  <si>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</si>
  <si>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</si>
  <si>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</si>
  <si>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</si>
  <si>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</si>
  <si>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</si>
  <si>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</si>
  <si>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</si>
  <si>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</si>
  <si>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</si>
  <si>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</si>
  <si>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</si>
  <si>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</si>
  <si>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</si>
  <si>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</si>
  <si>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</si>
  <si>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</si>
  <si>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</si>
  <si>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</si>
  <si>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</si>
  <si>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</si>
  <si>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</si>
  <si>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</si>
  <si>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</si>
  <si>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</si>
  <si>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</si>
  <si>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</si>
  <si>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</si>
  <si>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</si>
  <si>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</si>
  <si>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</si>
  <si>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</si>
  <si>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</si>
  <si>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</si>
  <si>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</si>
  <si>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</si>
  <si>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</si>
  <si>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</si>
  <si>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</si>
  <si>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</si>
  <si>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</si>
  <si>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</si>
  <si>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</si>
  <si>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</si>
  <si>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</si>
  <si>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</si>
  <si>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</si>
  <si>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</si>
  <si>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</si>
  <si>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</si>
  <si>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</si>
  <si>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</si>
  <si>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</si>
  <si>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</si>
  <si>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</si>
  <si>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</si>
  <si>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</si>
  <si>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</si>
  <si>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</si>
  <si>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</si>
  <si>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</si>
  <si>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</si>
  <si>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</si>
  <si>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</si>
  <si>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</si>
  <si>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</si>
  <si>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</si>
  <si>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</si>
  <si>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</si>
  <si>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</si>
  <si>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</si>
  <si>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</si>
  <si>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</si>
  <si>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</si>
  <si>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</si>
  <si>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</si>
  <si>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</si>
  <si>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</si>
  <si>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</si>
  <si>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</si>
  <si>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</si>
  <si>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</si>
  <si>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</si>
  <si>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</si>
  <si>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</si>
  <si>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</si>
  <si>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</si>
  <si>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</si>
  <si>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</si>
  <si>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</si>
  <si>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</si>
  <si>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</si>
  <si>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</si>
  <si>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</si>
  <si>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</si>
  <si>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</si>
  <si>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</si>
  <si>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</si>
  <si>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</si>
  <si>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</si>
  <si>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</si>
  <si>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</si>
  <si>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</si>
  <si>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</si>
  <si>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</si>
  <si>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</si>
  <si>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</si>
  <si>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</si>
  <si>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</si>
  <si>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</si>
  <si>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</si>
  <si>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</si>
  <si>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</si>
  <si>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</si>
  <si>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</si>
  <si>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</si>
  <si>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</si>
  <si>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</si>
  <si>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</si>
  <si>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</si>
  <si>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</si>
  <si>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</si>
  <si>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</si>
  <si>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</si>
  <si>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</si>
  <si>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</si>
  <si>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</si>
  <si>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</si>
  <si>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</si>
  <si>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</si>
  <si>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</si>
  <si>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</si>
  <si>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</si>
  <si>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</si>
  <si>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</si>
  <si>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</si>
  <si>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</si>
  <si>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</si>
  <si>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</si>
  <si>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</si>
  <si>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</si>
  <si>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</si>
  <si>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</si>
  <si>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</si>
  <si>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</si>
  <si>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</si>
  <si>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</si>
  <si>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</si>
  <si>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</si>
  <si>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</si>
  <si>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</si>
  <si>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</si>
  <si>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</si>
  <si>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</si>
  <si>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</si>
  <si>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</si>
  <si>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</si>
  <si>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</si>
  <si>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</si>
  <si>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</si>
  <si>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</si>
  <si>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</si>
  <si>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</si>
  <si>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</si>
  <si>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</si>
  <si>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</si>
  <si>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</si>
  <si>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</si>
  <si>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</si>
  <si>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</si>
  <si>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</si>
  <si>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</si>
  <si>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</si>
  <si>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</si>
  <si>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</si>
  <si>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</si>
  <si>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</si>
  <si>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</si>
  <si>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</si>
  <si>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</si>
  <si>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</si>
  <si>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</si>
  <si>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</si>
  <si>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</si>
  <si>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</si>
  <si>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</si>
  <si>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</si>
  <si>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</si>
  <si>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</si>
  <si>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</si>
  <si>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</si>
  <si>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</si>
  <si>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</si>
  <si>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</si>
  <si>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</si>
  <si>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</si>
  <si>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</si>
  <si>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</si>
  <si>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</si>
  <si>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</si>
  <si>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</si>
  <si>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</si>
  <si>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</si>
  <si>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</si>
  <si>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</si>
  <si>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</si>
  <si>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</si>
  <si>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</si>
  <si>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</si>
  <si>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</si>
  <si>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</si>
  <si>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</si>
  <si>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</si>
  <si>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</si>
  <si>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</si>
  <si>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</si>
  <si>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</si>
  <si>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</si>
  <si>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</si>
  <si>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</si>
  <si>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</si>
  <si>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</si>
  <si>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</si>
  <si>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</si>
  <si>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</si>
  <si>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</si>
  <si>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</si>
  <si>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</si>
  <si>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</si>
  <si>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</si>
  <si>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</si>
  <si>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</si>
  <si>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</si>
  <si>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</si>
  <si>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</si>
  <si>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</si>
  <si>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</si>
  <si>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</si>
  <si>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</si>
  <si>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</si>
  <si>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</si>
  <si>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</si>
  <si>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</si>
  <si>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</si>
  <si>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</si>
  <si>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</si>
  <si>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</si>
  <si>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</si>
  <si>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</si>
  <si>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</si>
  <si>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</si>
  <si>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</si>
  <si>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</si>
  <si>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</si>
  <si>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</si>
  <si>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</si>
  <si>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</si>
  <si>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</si>
  <si>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</si>
  <si>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</si>
  <si>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</si>
  <si>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</si>
  <si>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</si>
  <si>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</si>
  <si>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</si>
  <si>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</si>
  <si>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</si>
  <si>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</si>
  <si>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</si>
  <si>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</si>
  <si>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</si>
  <si>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</si>
  <si>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</si>
  <si>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</si>
  <si>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</si>
  <si>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</si>
  <si>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</si>
  <si>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</si>
  <si>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</si>
  <si>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</si>
  <si>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</si>
  <si>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</si>
  <si>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</si>
  <si>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</si>
  <si>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</si>
  <si>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</si>
  <si>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</si>
  <si>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</si>
  <si>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</si>
  <si>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</si>
  <si>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</si>
  <si>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</si>
  <si>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</si>
  <si>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</si>
  <si>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</si>
  <si>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</si>
  <si>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</si>
  <si>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</si>
  <si>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</si>
  <si>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</si>
  <si>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</si>
  <si>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</si>
  <si>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</si>
  <si>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</si>
  <si>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</si>
  <si>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</si>
  <si>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</si>
  <si>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</si>
  <si>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</si>
  <si>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</si>
  <si>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</si>
  <si>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</si>
  <si>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</si>
  <si>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</si>
  <si>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</si>
  <si>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</si>
  <si>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</si>
  <si>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</si>
  <si>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</si>
  <si>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</si>
  <si>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</si>
  <si>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</si>
  <si>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</si>
  <si>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</si>
  <si>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</si>
  <si>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</si>
  <si>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</si>
  <si>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</si>
  <si>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</si>
  <si>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</si>
  <si>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</si>
  <si>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</si>
  <si>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</si>
  <si>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</si>
  <si>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</si>
  <si>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</si>
  <si>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</si>
  <si>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</si>
  <si>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</si>
  <si>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</si>
  <si>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</si>
  <si>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</si>
  <si>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</si>
  <si>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</si>
  <si>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</si>
  <si>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</si>
  <si>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</si>
  <si>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</si>
  <si>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</si>
  <si>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</si>
  <si>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</si>
  <si>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</si>
  <si>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</si>
  <si>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</si>
  <si>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</si>
  <si>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</si>
  <si>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</si>
  <si>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</si>
  <si>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</si>
  <si>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</si>
  <si>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</si>
  <si>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</si>
  <si>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</si>
  <si>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</si>
  <si>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</si>
  <si>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</si>
  <si>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</si>
  <si>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</si>
  <si>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</si>
  <si>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</si>
  <si>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</si>
  <si>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</si>
  <si>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</si>
  <si>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</si>
  <si>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</si>
  <si>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</si>
  <si>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</si>
  <si>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</si>
  <si>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</si>
  <si>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</si>
  <si>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</si>
  <si>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</si>
  <si>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</si>
  <si>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</si>
  <si>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</si>
  <si>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</si>
  <si>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</si>
  <si>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</si>
  <si>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</si>
  <si>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</si>
  <si>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</si>
  <si>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</si>
  <si>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</si>
  <si>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</si>
  <si>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</si>
  <si>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</si>
  <si>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</si>
  <si>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</si>
  <si>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</si>
  <si>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</si>
  <si>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</si>
  <si>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</si>
  <si>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</si>
  <si>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</si>
  <si>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</si>
  <si>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</si>
  <si>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</si>
  <si>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</si>
  <si>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</si>
  <si>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</si>
  <si>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</si>
  <si>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</si>
  <si>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</si>
  <si>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</si>
  <si>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</si>
  <si>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</si>
  <si>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</si>
  <si>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</si>
  <si>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</si>
  <si>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</si>
  <si>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</si>
  <si>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</si>
  <si>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</si>
  <si>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</si>
  <si>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</si>
  <si>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</si>
  <si>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</si>
  <si>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</si>
  <si>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</si>
  <si>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</si>
  <si>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</si>
  <si>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</si>
  <si>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</si>
  <si>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</si>
  <si>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</si>
  <si>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</si>
  <si>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</si>
  <si>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</si>
  <si>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</si>
  <si>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</si>
  <si>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</si>
  <si>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</si>
  <si>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</si>
  <si>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</si>
  <si>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</si>
  <si>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</si>
  <si>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</si>
  <si>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</si>
  <si>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</si>
  <si>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</si>
  <si>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</si>
  <si>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</si>
  <si>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</si>
  <si>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</si>
  <si>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</si>
  <si>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</si>
  <si>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</si>
  <si>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</si>
  <si>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</si>
  <si>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</si>
  <si>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</si>
  <si>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</si>
  <si>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</si>
  <si>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</si>
  <si>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</si>
  <si>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</si>
  <si>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</si>
  <si>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</si>
  <si>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</si>
  <si>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</si>
  <si>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</si>
  <si>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</si>
  <si>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</si>
  <si>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</si>
  <si>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</si>
  <si>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</si>
  <si>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</si>
  <si>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</si>
  <si>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</si>
  <si>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</si>
  <si>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</si>
  <si>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</si>
  <si>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</si>
  <si>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</si>
  <si>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</si>
  <si>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</si>
  <si>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</si>
  <si>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</si>
  <si>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</si>
  <si>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</si>
  <si>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</si>
  <si>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</si>
  <si>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</si>
  <si>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</si>
  <si>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</si>
  <si>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</si>
  <si>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</si>
  <si>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</si>
  <si>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</si>
  <si>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</si>
  <si>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</si>
  <si>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</si>
  <si>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</si>
  <si>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</si>
  <si>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</si>
  <si>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</si>
  <si>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</si>
  <si>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</si>
  <si>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</si>
  <si>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</si>
  <si>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</si>
  <si>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</si>
  <si>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</si>
  <si>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</si>
  <si>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</si>
  <si>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</si>
  <si>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</si>
  <si>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</si>
  <si>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</si>
  <si>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</si>
  <si>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</si>
  <si>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</si>
  <si>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</si>
  <si>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</si>
  <si>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</si>
  <si>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</si>
  <si>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</si>
  <si>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</si>
  <si>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</si>
  <si>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</si>
  <si>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</si>
  <si>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</si>
  <si>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</si>
  <si>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</si>
  <si>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</si>
  <si>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</si>
  <si>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</si>
  <si>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</si>
  <si>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</si>
  <si>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</si>
  <si>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</si>
  <si>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</si>
  <si>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</si>
  <si>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</si>
  <si>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</si>
  <si>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</si>
  <si>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</si>
  <si>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</si>
  <si>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</si>
  <si>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</si>
  <si>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</si>
  <si>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</si>
  <si>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</si>
  <si>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</si>
  <si>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</si>
  <si>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</si>
  <si>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</si>
  <si>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</si>
  <si>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</si>
  <si>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</si>
  <si>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</si>
  <si>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</si>
  <si>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</si>
  <si>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</si>
  <si>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</si>
  <si>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</si>
  <si>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</si>
  <si>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</si>
  <si>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</si>
  <si>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</si>
  <si>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</si>
  <si>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</si>
  <si>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</si>
  <si>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</si>
  <si>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</si>
  <si>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</si>
  <si>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</si>
  <si>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</si>
  <si>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</si>
  <si>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</si>
  <si>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</si>
  <si>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</si>
  <si>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</si>
  <si>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</si>
  <si>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</si>
  <si>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</si>
  <si>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</si>
  <si>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</si>
  <si>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</si>
  <si>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</si>
  <si>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</si>
  <si>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</si>
  <si>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</si>
  <si>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</si>
  <si>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</si>
  <si>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</si>
  <si>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</si>
  <si>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</si>
  <si>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</si>
  <si>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</si>
  <si>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</si>
  <si>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</si>
  <si>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</si>
  <si>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</si>
  <si>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</si>
  <si>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</si>
  <si>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</si>
  <si>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</si>
  <si>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</si>
  <si>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</si>
  <si>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</si>
  <si>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</si>
  <si>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</si>
  <si>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</si>
  <si>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</si>
  <si>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</si>
  <si>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</si>
  <si>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</si>
  <si>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</si>
  <si>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</si>
  <si>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</si>
  <si>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</si>
  <si>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</si>
  <si>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</si>
  <si>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</si>
  <si>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</si>
  <si>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</si>
  <si>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</si>
  <si>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</si>
  <si>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</si>
  <si>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</si>
  <si>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</si>
  <si>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</si>
  <si>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</si>
  <si>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</si>
  <si>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</si>
  <si>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</si>
  <si>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</si>
  <si>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</si>
  <si>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</si>
  <si>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</si>
  <si>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</si>
  <si>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</si>
  <si>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</si>
  <si>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</si>
  <si>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</si>
  <si>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</si>
  <si>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</si>
  <si>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</si>
  <si>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</si>
  <si>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</si>
  <si>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</si>
  <si>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</si>
  <si>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</si>
  <si>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</si>
  <si>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</si>
  <si>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</si>
  <si>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</si>
  <si>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</si>
  <si>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</si>
  <si>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</si>
  <si>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</si>
  <si>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</si>
  <si>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</si>
  <si>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</si>
  <si>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</si>
  <si>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</si>
  <si>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</si>
  <si>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</si>
  <si>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</si>
  <si>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</si>
  <si>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</si>
  <si>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</si>
  <si>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</si>
  <si>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</si>
  <si>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</si>
  <si>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</si>
  <si>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</si>
  <si>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</si>
  <si>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</si>
  <si>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</si>
  <si>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</si>
  <si>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</si>
  <si>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</si>
  <si>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</si>
  <si>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</si>
  <si>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</si>
  <si>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</si>
  <si>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</si>
  <si>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</si>
  <si>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</si>
  <si>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</si>
  <si>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</si>
  <si>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</si>
  <si>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</si>
  <si>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</si>
  <si>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</si>
  <si>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</si>
  <si>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</si>
  <si>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</si>
  <si>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</si>
  <si>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</si>
  <si>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</si>
  <si>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</si>
  <si>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</si>
  <si>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</si>
  <si>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</si>
  <si>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</si>
  <si>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</si>
  <si>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</si>
  <si>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</si>
  <si>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</si>
  <si>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</si>
  <si>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</si>
  <si>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</si>
  <si>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</si>
  <si>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</si>
  <si>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</si>
  <si>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</si>
  <si>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</si>
  <si>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</si>
  <si>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</si>
  <si>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</si>
  <si>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</si>
  <si>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</si>
  <si>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</si>
  <si>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</si>
  <si>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</si>
  <si>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</si>
  <si>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</si>
  <si>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</si>
  <si>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</si>
  <si>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</si>
  <si>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</si>
  <si>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</si>
  <si>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</si>
  <si>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</si>
  <si>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</si>
  <si>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</si>
  <si>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</si>
  <si>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</si>
  <si>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</si>
  <si>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</si>
  <si>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</si>
  <si>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</si>
  <si>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</si>
  <si>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</si>
  <si>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</si>
  <si>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</si>
  <si>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</si>
  <si>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</si>
  <si>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</si>
  <si>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</si>
  <si>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</si>
  <si>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</si>
  <si>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</si>
  <si>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</si>
  <si>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</si>
  <si>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</si>
  <si>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</si>
  <si>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</si>
  <si>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</si>
  <si>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</si>
  <si>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</si>
  <si>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</si>
  <si>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</si>
  <si>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</si>
  <si>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</si>
  <si>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</si>
  <si>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</si>
  <si>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</si>
  <si>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</si>
  <si>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</si>
  <si>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</si>
  <si>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</si>
  <si>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</si>
  <si>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</si>
  <si>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</si>
  <si>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</si>
  <si>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</si>
  <si>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</si>
  <si>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</si>
  <si>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</si>
  <si>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</si>
  <si>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</si>
  <si>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</si>
  <si>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</si>
  <si>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</si>
  <si>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</si>
  <si>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</si>
  <si>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</si>
  <si>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</si>
  <si>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</si>
  <si>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</si>
  <si>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</si>
  <si>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</si>
  <si>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</si>
  <si>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</si>
  <si>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</si>
  <si>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</si>
  <si>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</si>
  <si>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</si>
  <si>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</si>
  <si>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</si>
  <si>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</si>
  <si>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</si>
  <si>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</si>
  <si>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</si>
  <si>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</si>
  <si>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</si>
  <si>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</si>
  <si>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</si>
  <si>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</si>
  <si>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</si>
  <si>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</si>
  <si>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</si>
  <si>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</si>
  <si>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</si>
  <si>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</si>
  <si>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</si>
  <si>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</si>
  <si>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</si>
  <si>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</si>
  <si>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</si>
  <si>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</si>
  <si>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</si>
  <si>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</si>
  <si>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</si>
  <si>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</si>
  <si>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</si>
  <si>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</si>
  <si>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</si>
  <si>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</si>
  <si>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</si>
  <si>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</si>
  <si>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</si>
  <si>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</si>
  <si>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</si>
  <si>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</si>
  <si>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</si>
  <si>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</si>
  <si>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</si>
  <si>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</si>
  <si>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</si>
  <si>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</si>
  <si>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</si>
  <si>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</si>
  <si>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</si>
  <si>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</si>
  <si>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</si>
  <si>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</si>
  <si>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</si>
  <si>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</si>
  <si>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</si>
  <si>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</si>
  <si>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</si>
  <si>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</si>
  <si>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</si>
  <si>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</si>
  <si>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</si>
  <si>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</si>
  <si>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</si>
  <si>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</si>
  <si>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</si>
  <si>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</si>
  <si>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</si>
  <si>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</si>
  <si>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</si>
  <si>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</si>
  <si>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</si>
  <si>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</si>
  <si>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</si>
  <si>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</si>
  <si>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</si>
  <si>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</si>
  <si>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</si>
  <si>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</si>
  <si>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</si>
  <si>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</si>
  <si>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</si>
  <si>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</si>
  <si>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</si>
  <si>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</si>
  <si>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</si>
  <si>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(All)</t>
  </si>
  <si>
    <t>Count of outcome</t>
  </si>
  <si>
    <t>Row Labels</t>
  </si>
  <si>
    <t>Grand Total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</si>
  <si>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</si>
  <si>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</si>
  <si>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</si>
  <si>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</si>
  <si>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</si>
  <si>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</si>
  <si>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</si>
  <si>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</si>
  <si>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</si>
  <si>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</si>
  <si>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</si>
  <si>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</si>
  <si>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</si>
  <si>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</si>
  <si>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</si>
  <si>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</si>
  <si>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</si>
  <si>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</si>
  <si>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</si>
  <si>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</si>
  <si>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</si>
  <si>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</si>
  <si>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</si>
  <si>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</si>
  <si>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</si>
  <si>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</si>
  <si>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</si>
  <si>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</si>
  <si>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</si>
  <si>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</si>
  <si>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</si>
  <si>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</si>
  <si>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</si>
  <si>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</si>
  <si>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</si>
  <si>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</si>
  <si>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</si>
  <si>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</si>
  <si>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</si>
  <si>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</si>
  <si>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</si>
  <si>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</si>
  <si>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</si>
  <si>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</si>
  <si>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</si>
  <si>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</si>
  <si>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</si>
  <si>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</si>
  <si>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</si>
  <si>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(Multiple Items)</t>
  </si>
  <si>
    <t>backers_Count</t>
  </si>
  <si>
    <t>Mean</t>
  </si>
  <si>
    <t>Median</t>
  </si>
  <si>
    <t>Minimum</t>
  </si>
  <si>
    <t>Maximum</t>
  </si>
  <si>
    <t>Variance</t>
  </si>
  <si>
    <t>Standard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</si>
</sst>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0" fontId="0" fillId="0" borderId="0" xfId="0" applyAlignment="1">
      <alignment horizontal="righ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14" fontId="16" fillId="0" borderId="0" xfId="0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339966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339966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339966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339966"/>
        </patternFill>
      </fill>
    </dxf>
    <dxf>
      <fill>
        <patternFill>
          <bgColor theme="8"/>
        </patternFill>
      </fill>
    </dxf>
    <dxf>
      <fill>
        <patternFill>
          <bgColor rgb="FF339966"/>
        </patternFill>
      </fill>
    </dxf>
    <dxf>
      <fill>
        <patternFill>
          <bgColor theme="7" tint="0.39994506668294322"/>
        </patternFill>
      </fill>
    </dxf>
    <dxf>
      <fill>
        <patternFill>
          <bgColor rgb="FFFF7C80"/>
        </patternFill>
      </fill>
    </dxf>
    <dxf>
      <fill>
        <patternFill>
          <bgColor rgb="FF339966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colors>
    <mruColors>
      <color rgb="FF3399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- Hendricks.xlsm]Sheet1!PivotTable1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0-4098-BEED-D722239E7AAA}"/>
            </c:ext>
          </c:extLst>
        </c:ser>
        <c:ser>
          <c:idx val="1"/>
          <c:order val="1"/>
          <c:tx>
            <c:strRef>
              <c:f>Sheet1!$C$4:$C$5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10-4098-BEED-D722239E7AAA}"/>
            </c:ext>
          </c:extLst>
        </c:ser>
        <c:ser>
          <c:idx val="2"/>
          <c:order val="2"/>
          <c:tx>
            <c:strRef>
              <c:f>Sheet1!$D$4:$D$5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10-4098-BEED-D722239E7AAA}"/>
            </c:ext>
          </c:extLst>
        </c:ser>
        <c:ser>
          <c:idx val="3"/>
          <c:order val="3"/>
          <c:tx>
            <c:strRef>
              <c:f>Sheet1!$E$4:$E$5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10-4098-BEED-D722239E7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03684128"/>
        <c:axId val="1303684608"/>
      </c:barChart>
      <c:catAx>
        <c:axId val="130368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684608"/>
        <c:crosses val="autoZero"/>
        <c:auto val="1"/>
        <c:lblAlgn val="ctr"/>
        <c:lblOffset val="100"/>
        <c:noMultiLvlLbl val="0"/>
      </c:catAx>
      <c:valAx>
        <c:axId val="13036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6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- Hendricks.xlsm]Sheet2!PivotTable2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19</c:v>
                </c:pt>
                <c:pt idx="15">
                  <c:v>5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5C-4D92-AFE4-94D314A35304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Sheet2!$C$6:$C$30</c:f>
              <c:numCache>
                <c:formatCode>General</c:formatCode>
                <c:ptCount val="24"/>
                <c:pt idx="0">
                  <c:v>9</c:v>
                </c:pt>
                <c:pt idx="2">
                  <c:v>17</c:v>
                </c:pt>
                <c:pt idx="3">
                  <c:v>12</c:v>
                </c:pt>
                <c:pt idx="4">
                  <c:v>7</c:v>
                </c:pt>
                <c:pt idx="5">
                  <c:v>6</c:v>
                </c:pt>
                <c:pt idx="6">
                  <c:v>19</c:v>
                </c:pt>
                <c:pt idx="7">
                  <c:v>17</c:v>
                </c:pt>
                <c:pt idx="8">
                  <c:v>4</c:v>
                </c:pt>
                <c:pt idx="10">
                  <c:v>7</c:v>
                </c:pt>
                <c:pt idx="11">
                  <c:v>5</c:v>
                </c:pt>
                <c:pt idx="12">
                  <c:v>10</c:v>
                </c:pt>
                <c:pt idx="13">
                  <c:v>125</c:v>
                </c:pt>
                <c:pt idx="14">
                  <c:v>4</c:v>
                </c:pt>
                <c:pt idx="15">
                  <c:v>25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6</c:v>
                </c:pt>
                <c:pt idx="20">
                  <c:v>14</c:v>
                </c:pt>
                <c:pt idx="21">
                  <c:v>15</c:v>
                </c:pt>
                <c:pt idx="2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5C-4D92-AFE4-94D314A35304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7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5C-4D92-AFE4-94D314A35304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Sheet2!$E$6:$E$30</c:f>
              <c:numCache>
                <c:formatCode>General</c:formatCode>
                <c:ptCount val="24"/>
                <c:pt idx="0">
                  <c:v>18</c:v>
                </c:pt>
                <c:pt idx="1">
                  <c:v>4</c:v>
                </c:pt>
                <c:pt idx="2">
                  <c:v>31</c:v>
                </c:pt>
                <c:pt idx="3">
                  <c:v>20</c:v>
                </c:pt>
                <c:pt idx="4">
                  <c:v>10</c:v>
                </c:pt>
                <c:pt idx="5">
                  <c:v>6</c:v>
                </c:pt>
                <c:pt idx="6">
                  <c:v>22</c:v>
                </c:pt>
                <c:pt idx="7">
                  <c:v>23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11</c:v>
                </c:pt>
                <c:pt idx="12">
                  <c:v>25</c:v>
                </c:pt>
                <c:pt idx="13">
                  <c:v>167</c:v>
                </c:pt>
                <c:pt idx="14">
                  <c:v>3</c:v>
                </c:pt>
                <c:pt idx="15">
                  <c:v>44</c:v>
                </c:pt>
                <c:pt idx="16">
                  <c:v>5</c:v>
                </c:pt>
                <c:pt idx="17">
                  <c:v>7</c:v>
                </c:pt>
                <c:pt idx="18">
                  <c:v>11</c:v>
                </c:pt>
                <c:pt idx="19">
                  <c:v>12</c:v>
                </c:pt>
                <c:pt idx="20">
                  <c:v>14</c:v>
                </c:pt>
                <c:pt idx="21">
                  <c:v>24</c:v>
                </c:pt>
                <c:pt idx="22">
                  <c:v>34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5C-4D92-AFE4-94D314A35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22649088"/>
        <c:axId val="322640448"/>
      </c:barChart>
      <c:catAx>
        <c:axId val="32264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40448"/>
        <c:crosses val="autoZero"/>
        <c:auto val="1"/>
        <c:lblAlgn val="ctr"/>
        <c:lblOffset val="100"/>
        <c:noMultiLvlLbl val="0"/>
      </c:catAx>
      <c:valAx>
        <c:axId val="32264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64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- Hendricks.xlsm]Sheet3!PivotTable3</c:name>
    <c:fmtId val="7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rgbClr val="FFC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D-40C8-B2CE-D0FD0EBCA4E2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D-40C8-B2CE-D0FD0EBCA4E2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Sheet3!$D$6:$D$18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D-40C8-B2CE-D0FD0EBCA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526784"/>
        <c:axId val="460513824"/>
      </c:lineChart>
      <c:catAx>
        <c:axId val="46052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3824"/>
        <c:crosses val="autoZero"/>
        <c:auto val="1"/>
        <c:lblAlgn val="ctr"/>
        <c:lblOffset val="100"/>
        <c:noMultiLvlLbl val="0"/>
      </c:catAx>
      <c:valAx>
        <c:axId val="46051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2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628650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DA3F61-D3D8-9DF6-CE8C-26835CDD3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838199</xdr:colOff>
      <xdr:row>2</xdr:row>
      <xdr:rowOff>200024</xdr:rowOff>
    </xdr:from>
    <xdr:to>
      <xdr:col>18</xdr:col>
      <xdr:colOff>295274</xdr:colOff>
      <xdr:row>28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E0FE-9847-751F-2B25-C69BF4104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</xdr:colOff>
      <xdr:row>0</xdr:row>
      <xdr:rowOff>190501</xdr:rowOff>
    </xdr:from>
    <xdr:to>
      <xdr:col>11</xdr:col>
      <xdr:colOff>495300</xdr:colOff>
      <xdr:row>18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5AD3D-A685-3F93-31D7-34A428741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 Hendricks" refreshedDate="45566.859649999999" createdVersion="8" refreshedVersion="8" minRefreshableVersion="3" recordCount="1000" xr:uid="{51BFDAF1-B898-481A-884D-3DA1D1F6F2F4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00000000001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1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)" numFmtId="0" databaseField="0">
      <fieldGroup base="12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2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2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s v="0"/>
    <x v="0"/>
    <s v="CAD"/>
    <n v="1448690400"/>
    <x v="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"/>
    <x v="1"/>
    <s v="USD"/>
    <n v="1408424400"/>
    <x v="1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8"/>
    <x v="1"/>
    <n v="1425"/>
    <n v="100.02"/>
    <x v="2"/>
    <s v="AUD"/>
    <n v="1384668000"/>
    <x v="2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9999999999999"/>
    <x v="0"/>
    <n v="24"/>
    <n v="103.21"/>
    <x v="1"/>
    <s v="USD"/>
    <n v="1565499600"/>
    <x v="3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n v="0.69279999999999997"/>
    <x v="0"/>
    <n v="53"/>
    <n v="99.34"/>
    <x v="1"/>
    <s v="USD"/>
    <n v="1547964000"/>
    <x v="4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n v="1.7362"/>
    <x v="1"/>
    <n v="174"/>
    <n v="75.83"/>
    <x v="3"/>
    <s v="DKK"/>
    <n v="1346130000"/>
    <x v="5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0000000000001"/>
    <x v="0"/>
    <n v="18"/>
    <n v="60.56"/>
    <x v="4"/>
    <s v="GBP"/>
    <n v="1505278800"/>
    <x v="6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999999999998"/>
    <x v="1"/>
    <n v="227"/>
    <n v="64.94"/>
    <x v="3"/>
    <s v="DKK"/>
    <n v="1439442000"/>
    <x v="7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"/>
    <x v="2"/>
    <n v="708"/>
    <n v="31"/>
    <x v="3"/>
    <s v="DKK"/>
    <n v="1281330000"/>
    <x v="8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39999999999997"/>
    <x v="0"/>
    <n v="44"/>
    <n v="72.91"/>
    <x v="1"/>
    <s v="USD"/>
    <n v="1379566800"/>
    <x v="9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2"/>
    <x v="1"/>
    <n v="220"/>
    <n v="62.9"/>
    <x v="1"/>
    <s v="USD"/>
    <n v="1281762000"/>
    <x v="1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9999999999998"/>
    <x v="0"/>
    <n v="27"/>
    <n v="112.22"/>
    <x v="1"/>
    <s v="USD"/>
    <n v="1285045200"/>
    <x v="11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n v="0.89349999999999996"/>
    <x v="0"/>
    <n v="55"/>
    <n v="102.35"/>
    <x v="1"/>
    <s v="USD"/>
    <n v="1571720400"/>
    <x v="12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2"/>
    <x v="1"/>
    <n v="98"/>
    <n v="105.05"/>
    <x v="1"/>
    <s v="USD"/>
    <n v="1465621200"/>
    <x v="13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999999999996"/>
    <x v="0"/>
    <n v="200"/>
    <n v="94.15"/>
    <x v="1"/>
    <s v="USD"/>
    <n v="1331013600"/>
    <x v="14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10000000000002"/>
    <x v="0"/>
    <n v="452"/>
    <n v="84.99"/>
    <x v="1"/>
    <s v="USD"/>
    <n v="1575957600"/>
    <x v="15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6999999999999"/>
    <x v="1"/>
    <n v="100"/>
    <n v="110.41"/>
    <x v="1"/>
    <s v="USD"/>
    <n v="1390370400"/>
    <x v="16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000000000001"/>
    <x v="1"/>
    <n v="1249"/>
    <n v="107.96"/>
    <x v="1"/>
    <s v="USD"/>
    <n v="1294812000"/>
    <x v="17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0000000000003"/>
    <x v="3"/>
    <n v="135"/>
    <n v="45.1"/>
    <x v="1"/>
    <s v="USD"/>
    <n v="1536382800"/>
    <x v="18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n v="0.48530000000000001"/>
    <x v="0"/>
    <n v="674"/>
    <n v="45"/>
    <x v="1"/>
    <s v="USD"/>
    <n v="1551679200"/>
    <x v="19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000000000001"/>
    <x v="1"/>
    <n v="1396"/>
    <n v="105.97"/>
    <x v="1"/>
    <s v="USD"/>
    <n v="1406523600"/>
    <x v="2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89999999999999"/>
    <x v="0"/>
    <n v="558"/>
    <n v="69.06"/>
    <x v="1"/>
    <s v="USD"/>
    <n v="1313384400"/>
    <x v="21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n v="1.2806999999999999"/>
    <x v="1"/>
    <n v="890"/>
    <n v="85.04"/>
    <x v="1"/>
    <s v="USD"/>
    <n v="1522731600"/>
    <x v="22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n v="3.3203999999999998"/>
    <x v="1"/>
    <n v="142"/>
    <n v="105.23"/>
    <x v="4"/>
    <s v="GBP"/>
    <n v="1550124000"/>
    <x v="23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000000000001"/>
    <x v="1"/>
    <n v="2673"/>
    <n v="39"/>
    <x v="1"/>
    <s v="USD"/>
    <n v="1403326800"/>
    <x v="24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4000000000001"/>
    <x v="1"/>
    <n v="163"/>
    <n v="73.03"/>
    <x v="1"/>
    <s v="USD"/>
    <n v="1305694800"/>
    <x v="25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999999999998"/>
    <x v="3"/>
    <n v="1480"/>
    <n v="35.01"/>
    <x v="1"/>
    <s v="USD"/>
    <n v="1533013200"/>
    <x v="26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x v="27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3"/>
    <x v="1"/>
    <n v="2220"/>
    <n v="62"/>
    <x v="1"/>
    <s v="USD"/>
    <n v="1265695200"/>
    <x v="28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90000000000001"/>
    <x v="1"/>
    <n v="1606"/>
    <n v="94"/>
    <x v="5"/>
    <s v="CHF"/>
    <n v="1532062800"/>
    <x v="29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000000000001"/>
    <x v="1"/>
    <n v="129"/>
    <n v="112.05"/>
    <x v="1"/>
    <s v="USD"/>
    <n v="1558674000"/>
    <x v="3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1"/>
    <x v="4"/>
    <s v="GBP"/>
    <n v="1451973600"/>
    <x v="31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9999999999998"/>
    <x v="0"/>
    <n v="2307"/>
    <n v="38"/>
    <x v="6"/>
    <s v="EUR"/>
    <n v="1515564000"/>
    <x v="32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"/>
    <x v="1"/>
    <n v="5419"/>
    <n v="35"/>
    <x v="1"/>
    <s v="USD"/>
    <n v="1412485200"/>
    <x v="33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1"/>
    <x v="1"/>
    <n v="165"/>
    <n v="85"/>
    <x v="1"/>
    <s v="USD"/>
    <n v="1490245200"/>
    <x v="34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29999999999999"/>
    <x v="1"/>
    <n v="1965"/>
    <n v="95.99"/>
    <x v="3"/>
    <s v="DKK"/>
    <n v="1547877600"/>
    <x v="35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9"/>
    <x v="1"/>
    <n v="16"/>
    <n v="68.81"/>
    <x v="1"/>
    <s v="USD"/>
    <n v="1298700000"/>
    <x v="36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999999999999"/>
    <x v="1"/>
    <n v="107"/>
    <n v="105.97"/>
    <x v="1"/>
    <s v="USD"/>
    <n v="1570338000"/>
    <x v="37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000000000001"/>
    <x v="1"/>
    <n v="134"/>
    <n v="75.260000000000005"/>
    <x v="1"/>
    <s v="USD"/>
    <n v="1287378000"/>
    <x v="38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80000000000003"/>
    <x v="0"/>
    <n v="88"/>
    <n v="57.13"/>
    <x v="3"/>
    <s v="DKK"/>
    <n v="1361772000"/>
    <x v="39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7000000000001"/>
    <x v="1"/>
    <n v="198"/>
    <n v="75.14"/>
    <x v="1"/>
    <s v="USD"/>
    <n v="1275714000"/>
    <x v="4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3000000000002"/>
    <x v="1"/>
    <n v="111"/>
    <n v="107.42"/>
    <x v="6"/>
    <s v="EUR"/>
    <n v="1346734800"/>
    <x v="41"/>
    <n v="1348981200"/>
    <d v="2012-09-30T05:00:00"/>
    <b v="0"/>
    <b v="1"/>
    <s v="music/rock"/>
    <x v="1"/>
    <x v="1"/>
  </r>
  <r>
    <n v="42"/>
    <s v="Werner-Bryant"/>
    <s v="Virtual uniform frame"/>
    <n v="1800"/>
    <n v="7991"/>
    <n v="4.4394"/>
    <x v="1"/>
    <n v="222"/>
    <n v="36"/>
    <x v="1"/>
    <s v="USD"/>
    <n v="1309755600"/>
    <x v="42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99999999999"/>
    <x v="1"/>
    <n v="6212"/>
    <n v="27"/>
    <x v="1"/>
    <s v="USD"/>
    <n v="1406178000"/>
    <x v="43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0999999999998"/>
    <x v="1"/>
    <n v="98"/>
    <n v="107.56"/>
    <x v="3"/>
    <s v="DKK"/>
    <n v="1552798800"/>
    <x v="44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"/>
    <x v="0"/>
    <n v="48"/>
    <n v="94.38"/>
    <x v="1"/>
    <s v="USD"/>
    <n v="1478062800"/>
    <x v="45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7999999999999"/>
    <x v="1"/>
    <n v="92"/>
    <n v="46.16"/>
    <x v="1"/>
    <s v="USD"/>
    <n v="1278565200"/>
    <x v="46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999999999999"/>
    <x v="1"/>
    <n v="149"/>
    <n v="47.85"/>
    <x v="1"/>
    <s v="USD"/>
    <n v="1396069200"/>
    <x v="47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n v="3.8696999999999999"/>
    <x v="1"/>
    <n v="2431"/>
    <n v="53.01"/>
    <x v="1"/>
    <s v="USD"/>
    <n v="1435208400"/>
    <x v="48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n v="1.8963000000000001"/>
    <x v="1"/>
    <n v="303"/>
    <n v="45.06"/>
    <x v="1"/>
    <s v="USD"/>
    <n v="1571547600"/>
    <x v="49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n v="1375333200"/>
    <x v="5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9999999999996"/>
    <x v="0"/>
    <n v="1467"/>
    <n v="99.01"/>
    <x v="4"/>
    <s v="GBP"/>
    <n v="1332824400"/>
    <x v="51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0000000000003"/>
    <x v="0"/>
    <n v="75"/>
    <n v="32.79"/>
    <x v="1"/>
    <s v="USD"/>
    <n v="1284526800"/>
    <x v="52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n v="1.4040999999999999"/>
    <x v="1"/>
    <n v="209"/>
    <n v="59.12"/>
    <x v="1"/>
    <s v="USD"/>
    <n v="1400562000"/>
    <x v="53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70000000000005"/>
    <x v="0"/>
    <n v="120"/>
    <n v="44.93"/>
    <x v="1"/>
    <s v="USD"/>
    <n v="1520748000"/>
    <x v="54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7000000000001"/>
    <x v="1"/>
    <n v="131"/>
    <n v="89.66"/>
    <x v="1"/>
    <s v="USD"/>
    <n v="1532926800"/>
    <x v="55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000000000001"/>
    <x v="1"/>
    <n v="164"/>
    <n v="70.08"/>
    <x v="1"/>
    <s v="USD"/>
    <n v="1420869600"/>
    <x v="56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8"/>
    <x v="1"/>
    <n v="201"/>
    <n v="31.06"/>
    <x v="1"/>
    <s v="USD"/>
    <n v="1504242000"/>
    <x v="57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000000000001"/>
    <x v="1"/>
    <n v="211"/>
    <n v="29.06"/>
    <x v="1"/>
    <s v="USD"/>
    <n v="1442811600"/>
    <x v="58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000000000001"/>
    <x v="1"/>
    <n v="128"/>
    <n v="30.09"/>
    <x v="1"/>
    <s v="USD"/>
    <n v="1497243600"/>
    <x v="59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"/>
    <x v="1"/>
    <n v="1600"/>
    <n v="85"/>
    <x v="0"/>
    <s v="CAD"/>
    <n v="1342501200"/>
    <x v="6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9999999999999"/>
    <x v="0"/>
    <n v="2253"/>
    <n v="82"/>
    <x v="0"/>
    <s v="CAD"/>
    <n v="1298268000"/>
    <x v="61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"/>
    <x v="1"/>
    <s v="USD"/>
    <n v="1433480400"/>
    <x v="62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49999999999999"/>
    <x v="0"/>
    <n v="5"/>
    <n v="111.4"/>
    <x v="1"/>
    <s v="USD"/>
    <n v="1493355600"/>
    <x v="63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0000000000005"/>
    <x v="0"/>
    <n v="38"/>
    <n v="71.95"/>
    <x v="1"/>
    <s v="USD"/>
    <n v="1530507600"/>
    <x v="64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n v="2.3614999999999999"/>
    <x v="1"/>
    <n v="236"/>
    <n v="61.04"/>
    <x v="1"/>
    <s v="USD"/>
    <n v="1296108000"/>
    <x v="65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9999999999999"/>
    <x v="0"/>
    <n v="12"/>
    <n v="108.92"/>
    <x v="1"/>
    <s v="USD"/>
    <n v="1428469200"/>
    <x v="66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999999999999"/>
    <x v="1"/>
    <n v="4065"/>
    <n v="29"/>
    <x v="4"/>
    <s v="GBP"/>
    <n v="1264399200"/>
    <x v="67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3000000000001"/>
    <x v="1"/>
    <n v="246"/>
    <n v="58.98"/>
    <x v="6"/>
    <s v="EUR"/>
    <n v="1501131600"/>
    <x v="68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0000000000001"/>
    <x v="3"/>
    <n v="17"/>
    <n v="111.82"/>
    <x v="1"/>
    <s v="USD"/>
    <n v="1292738400"/>
    <x v="69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n v="1.2374000000000001"/>
    <x v="1"/>
    <n v="2475"/>
    <n v="64"/>
    <x v="6"/>
    <s v="EUR"/>
    <n v="1288674000"/>
    <x v="7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7"/>
    <x v="1"/>
    <n v="76"/>
    <n v="85.32"/>
    <x v="1"/>
    <s v="USD"/>
    <n v="1575093600"/>
    <x v="71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2999999999996"/>
    <x v="1"/>
    <n v="54"/>
    <n v="74.48"/>
    <x v="1"/>
    <s v="USD"/>
    <n v="1435726800"/>
    <x v="72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3000000000002"/>
    <x v="1"/>
    <n v="88"/>
    <n v="105.15"/>
    <x v="1"/>
    <s v="USD"/>
    <n v="1480226400"/>
    <x v="73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n v="1.2245999999999999"/>
    <x v="1"/>
    <n v="85"/>
    <n v="56.19"/>
    <x v="4"/>
    <s v="GBP"/>
    <n v="1459054800"/>
    <x v="74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8"/>
    <x v="1"/>
    <n v="170"/>
    <n v="85.92"/>
    <x v="1"/>
    <s v="USD"/>
    <n v="1531630800"/>
    <x v="75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10000000000002"/>
    <x v="0"/>
    <n v="1684"/>
    <n v="57"/>
    <x v="1"/>
    <s v="USD"/>
    <n v="1421992800"/>
    <x v="76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n v="0.46949999999999997"/>
    <x v="0"/>
    <n v="56"/>
    <n v="79.64"/>
    <x v="1"/>
    <s v="USD"/>
    <n v="1285563600"/>
    <x v="77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2"/>
    <x v="1"/>
    <s v="USD"/>
    <n v="1523854800"/>
    <x v="78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9999999999995"/>
    <x v="0"/>
    <n v="838"/>
    <n v="48"/>
    <x v="1"/>
    <s v="USD"/>
    <n v="1529125200"/>
    <x v="79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000000000003"/>
    <x v="1"/>
    <n v="127"/>
    <n v="55.21"/>
    <x v="1"/>
    <s v="USD"/>
    <n v="1503982800"/>
    <x v="8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4000000000001"/>
    <x v="1"/>
    <n v="411"/>
    <n v="92.11"/>
    <x v="1"/>
    <s v="USD"/>
    <n v="1511416800"/>
    <x v="81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"/>
    <x v="4"/>
    <s v="GBP"/>
    <n v="1547704800"/>
    <x v="82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000000000001"/>
    <x v="0"/>
    <n v="1000"/>
    <n v="40"/>
    <x v="1"/>
    <s v="USD"/>
    <n v="1469682000"/>
    <x v="83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7000000000001"/>
    <x v="1"/>
    <n v="374"/>
    <n v="111.13"/>
    <x v="1"/>
    <s v="USD"/>
    <n v="1343451600"/>
    <x v="84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"/>
    <x v="1"/>
    <n v="71"/>
    <n v="90.56"/>
    <x v="2"/>
    <s v="AUD"/>
    <n v="1315717200"/>
    <x v="85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n v="1.6763999999999999"/>
    <x v="1"/>
    <n v="203"/>
    <n v="61.11"/>
    <x v="1"/>
    <s v="USD"/>
    <n v="1430715600"/>
    <x v="86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0000000000002"/>
    <x v="0"/>
    <n v="1482"/>
    <n v="83.02"/>
    <x v="2"/>
    <s v="AUD"/>
    <n v="1299564000"/>
    <x v="87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"/>
    <x v="1"/>
    <s v="USD"/>
    <n v="1429160400"/>
    <x v="88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9"/>
    <x v="1"/>
    <n v="96"/>
    <n v="89.46"/>
    <x v="1"/>
    <s v="USD"/>
    <n v="1271307600"/>
    <x v="89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n v="0.78620000000000001"/>
    <x v="0"/>
    <n v="106"/>
    <n v="57.85"/>
    <x v="1"/>
    <s v="USD"/>
    <n v="1456380000"/>
    <x v="9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399999999999999"/>
    <x v="0"/>
    <n v="679"/>
    <n v="110"/>
    <x v="6"/>
    <s v="EUR"/>
    <n v="1470459600"/>
    <x v="91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8"/>
    <x v="1"/>
    <n v="498"/>
    <n v="103.97"/>
    <x v="5"/>
    <s v="CHF"/>
    <n v="1277269200"/>
    <x v="92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50000000000004"/>
    <x v="3"/>
    <n v="610"/>
    <n v="108"/>
    <x v="1"/>
    <s v="USD"/>
    <n v="1350709200"/>
    <x v="93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n v="3.0369000000000002"/>
    <x v="1"/>
    <n v="180"/>
    <n v="48.93"/>
    <x v="4"/>
    <s v="GBP"/>
    <n v="1554613200"/>
    <x v="94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7"/>
    <x v="1"/>
    <s v="USD"/>
    <n v="1571029200"/>
    <x v="95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8"/>
    <x v="1"/>
    <n v="2331"/>
    <n v="65"/>
    <x v="1"/>
    <s v="USD"/>
    <n v="1299736800"/>
    <x v="96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n v="9.2668999999999997"/>
    <x v="1"/>
    <n v="113"/>
    <n v="106.61"/>
    <x v="1"/>
    <s v="USD"/>
    <n v="1435208400"/>
    <x v="48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89999999999998"/>
    <x v="0"/>
    <n v="1220"/>
    <n v="27.01"/>
    <x v="2"/>
    <s v="AUD"/>
    <n v="1437973200"/>
    <x v="97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000000000001"/>
    <x v="1"/>
    <n v="164"/>
    <n v="91.16"/>
    <x v="1"/>
    <s v="USD"/>
    <n v="1416895200"/>
    <x v="98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n v="1319000400"/>
    <x v="99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n v="10.214399999999999"/>
    <x v="1"/>
    <n v="164"/>
    <n v="56.05"/>
    <x v="1"/>
    <s v="USD"/>
    <n v="1424498400"/>
    <x v="1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8000000000002"/>
    <x v="1"/>
    <n v="336"/>
    <n v="31.02"/>
    <x v="1"/>
    <s v="USD"/>
    <n v="1526274000"/>
    <x v="101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0000000000005"/>
    <x v="6"/>
    <s v="EUR"/>
    <n v="1287896400"/>
    <x v="102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"/>
    <x v="1"/>
    <n v="1917"/>
    <n v="89.01"/>
    <x v="1"/>
    <s v="USD"/>
    <n v="1495515600"/>
    <x v="103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"/>
    <x v="1"/>
    <n v="95"/>
    <n v="103.46"/>
    <x v="1"/>
    <s v="USD"/>
    <n v="1364878800"/>
    <x v="104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999999999999"/>
    <x v="1"/>
    <n v="147"/>
    <n v="95.28"/>
    <x v="1"/>
    <s v="USD"/>
    <n v="1567918800"/>
    <x v="105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9"/>
    <x v="1"/>
    <n v="86"/>
    <n v="75.900000000000006"/>
    <x v="1"/>
    <s v="USD"/>
    <n v="1524459600"/>
    <x v="106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7000000000001"/>
    <x v="1"/>
    <n v="83"/>
    <n v="107.58"/>
    <x v="1"/>
    <s v="USD"/>
    <n v="1333688400"/>
    <x v="107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09999999999996"/>
    <x v="0"/>
    <n v="60"/>
    <n v="51.32"/>
    <x v="1"/>
    <s v="USD"/>
    <n v="1389506400"/>
    <x v="108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0000000000001"/>
    <x v="0"/>
    <n v="296"/>
    <n v="71.98"/>
    <x v="1"/>
    <s v="USD"/>
    <n v="1536642000"/>
    <x v="109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6"/>
    <x v="1"/>
    <n v="676"/>
    <n v="108.95"/>
    <x v="1"/>
    <s v="USD"/>
    <n v="1348290000"/>
    <x v="11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99999999999"/>
    <x v="1"/>
    <n v="361"/>
    <n v="35"/>
    <x v="2"/>
    <s v="AUD"/>
    <n v="1408856400"/>
    <x v="111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8000000000001"/>
    <x v="1"/>
    <n v="131"/>
    <n v="94.94"/>
    <x v="1"/>
    <s v="USD"/>
    <n v="1505192400"/>
    <x v="112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n v="7.2716000000000003"/>
    <x v="1"/>
    <n v="126"/>
    <n v="109.65"/>
    <x v="1"/>
    <s v="USD"/>
    <n v="1554786000"/>
    <x v="113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09999999999999"/>
    <x v="0"/>
    <n v="3304"/>
    <n v="44"/>
    <x v="6"/>
    <s v="EUR"/>
    <n v="1510898400"/>
    <x v="114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"/>
    <x v="1"/>
    <s v="USD"/>
    <n v="1442552400"/>
    <x v="115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n v="1.7394000000000001"/>
    <x v="1"/>
    <n v="275"/>
    <n v="30.99"/>
    <x v="1"/>
    <s v="USD"/>
    <n v="1316667600"/>
    <x v="116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0999999999999"/>
    <x v="1"/>
    <n v="67"/>
    <n v="94.79"/>
    <x v="1"/>
    <s v="USD"/>
    <n v="1390716000"/>
    <x v="117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0000000000006"/>
    <x v="1"/>
    <s v="USD"/>
    <n v="1402894800"/>
    <x v="118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50000000000001"/>
    <x v="1"/>
    <n v="1782"/>
    <n v="63"/>
    <x v="1"/>
    <s v="USD"/>
    <n v="1429246800"/>
    <x v="119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4"/>
    <x v="1"/>
    <n v="903"/>
    <n v="110.03"/>
    <x v="1"/>
    <s v="USD"/>
    <n v="1412485200"/>
    <x v="33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70000000000005"/>
    <x v="0"/>
    <n v="3387"/>
    <n v="26"/>
    <x v="1"/>
    <s v="USD"/>
    <n v="1417068000"/>
    <x v="12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"/>
    <x v="0"/>
    <n v="662"/>
    <n v="49.99"/>
    <x v="0"/>
    <s v="CAD"/>
    <n v="1448344800"/>
    <x v="121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7000000000002"/>
    <x v="1"/>
    <n v="94"/>
    <n v="101.72"/>
    <x v="6"/>
    <s v="EUR"/>
    <n v="1557723600"/>
    <x v="122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1"/>
    <x v="1"/>
    <n v="180"/>
    <n v="47.08"/>
    <x v="1"/>
    <s v="USD"/>
    <n v="1537333200"/>
    <x v="123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n v="0.38629999999999998"/>
    <x v="0"/>
    <n v="774"/>
    <n v="89.94"/>
    <x v="1"/>
    <s v="USD"/>
    <n v="1471150800"/>
    <x v="124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19999999999999"/>
    <x v="0"/>
    <n v="672"/>
    <n v="78.97"/>
    <x v="0"/>
    <s v="CAD"/>
    <n v="1273640400"/>
    <x v="125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n v="0.60329999999999995"/>
    <x v="3"/>
    <n v="532"/>
    <n v="80.069999999999993"/>
    <x v="1"/>
    <s v="USD"/>
    <n v="1282885200"/>
    <x v="126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n v="3.2000000000000001E-2"/>
    <x v="3"/>
    <n v="55"/>
    <n v="86.47"/>
    <x v="2"/>
    <s v="AUD"/>
    <n v="1422943200"/>
    <x v="127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7"/>
    <x v="1"/>
    <n v="533"/>
    <n v="28"/>
    <x v="3"/>
    <s v="DKK"/>
    <n v="1319605200"/>
    <x v="128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99999999999"/>
    <x v="1"/>
    <n v="2443"/>
    <n v="68"/>
    <x v="4"/>
    <s v="GBP"/>
    <n v="1385704800"/>
    <x v="129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n v="1.1617999999999999"/>
    <x v="1"/>
    <n v="89"/>
    <n v="43.08"/>
    <x v="1"/>
    <s v="USD"/>
    <n v="1515736800"/>
    <x v="13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n v="3.1078000000000001"/>
    <x v="1"/>
    <n v="159"/>
    <n v="87.96"/>
    <x v="1"/>
    <s v="USD"/>
    <n v="1313125200"/>
    <x v="131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n v="0.89739999999999998"/>
    <x v="0"/>
    <n v="940"/>
    <n v="94.99"/>
    <x v="5"/>
    <s v="CHF"/>
    <n v="1308459600"/>
    <x v="132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"/>
    <x v="0"/>
    <n v="117"/>
    <n v="46.91"/>
    <x v="1"/>
    <s v="USD"/>
    <n v="1362636000"/>
    <x v="133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99999999999999E-2"/>
    <x v="3"/>
    <n v="58"/>
    <n v="46.91"/>
    <x v="1"/>
    <s v="USD"/>
    <n v="1402117200"/>
    <x v="134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999999999999"/>
    <x v="1"/>
    <n v="50"/>
    <n v="94.24"/>
    <x v="1"/>
    <s v="USD"/>
    <n v="1286341200"/>
    <x v="135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4"/>
    <x v="1"/>
    <s v="USD"/>
    <n v="1348808400"/>
    <x v="136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9999999999999"/>
    <x v="0"/>
    <n v="326"/>
    <n v="59.04"/>
    <x v="1"/>
    <s v="USD"/>
    <n v="1429592400"/>
    <x v="137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5999999999998"/>
    <x v="1"/>
    <n v="186"/>
    <n v="65.989999999999995"/>
    <x v="1"/>
    <s v="USD"/>
    <n v="1519538400"/>
    <x v="138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"/>
    <x v="1"/>
    <n v="1071"/>
    <n v="60.99"/>
    <x v="1"/>
    <s v="USD"/>
    <n v="1434085200"/>
    <x v="139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1"/>
    <x v="1"/>
    <s v="USD"/>
    <n v="1333688400"/>
    <x v="107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n v="1.3559000000000001"/>
    <x v="1"/>
    <n v="70"/>
    <n v="104.6"/>
    <x v="1"/>
    <s v="USD"/>
    <n v="1277701200"/>
    <x v="14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7"/>
    <x v="1"/>
    <s v="USD"/>
    <n v="1560747600"/>
    <x v="141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n v="2.3651"/>
    <x v="1"/>
    <n v="768"/>
    <n v="76.989999999999995"/>
    <x v="5"/>
    <s v="CHF"/>
    <n v="1410066000"/>
    <x v="142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"/>
    <x v="1"/>
    <s v="USD"/>
    <n v="1320732000"/>
    <x v="143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"/>
    <x v="1"/>
    <n v="199"/>
    <n v="46.92"/>
    <x v="1"/>
    <s v="USD"/>
    <n v="1465794000"/>
    <x v="144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1999999999999"/>
    <x v="1"/>
    <n v="107"/>
    <n v="105.19"/>
    <x v="1"/>
    <s v="USD"/>
    <n v="1500958800"/>
    <x v="145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00000000001"/>
    <x v="1"/>
    <n v="195"/>
    <n v="69.91"/>
    <x v="1"/>
    <s v="USD"/>
    <n v="1357020000"/>
    <x v="146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n v="1544940000"/>
    <x v="147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n v="0.64170000000000005"/>
    <x v="0"/>
    <n v="1467"/>
    <n v="60.01"/>
    <x v="1"/>
    <s v="USD"/>
    <n v="1402290000"/>
    <x v="148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999999999997"/>
    <x v="1"/>
    <n v="3376"/>
    <n v="52.01"/>
    <x v="1"/>
    <s v="USD"/>
    <n v="1487311200"/>
    <x v="149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79999999999996"/>
    <x v="0"/>
    <n v="5681"/>
    <n v="31"/>
    <x v="1"/>
    <s v="USD"/>
    <n v="1350622800"/>
    <x v="15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60000000000001"/>
    <x v="0"/>
    <n v="1059"/>
    <n v="95.04"/>
    <x v="1"/>
    <s v="USD"/>
    <n v="1463029200"/>
    <x v="151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"/>
    <x v="0"/>
    <n v="1194"/>
    <n v="75.97"/>
    <x v="1"/>
    <s v="USD"/>
    <n v="1269493200"/>
    <x v="152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999999999995"/>
    <x v="3"/>
    <n v="379"/>
    <n v="71.010000000000005"/>
    <x v="2"/>
    <s v="AUD"/>
    <n v="1570251600"/>
    <x v="153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n v="0.52669999999999995"/>
    <x v="0"/>
    <n v="30"/>
    <n v="73.73"/>
    <x v="2"/>
    <s v="AUD"/>
    <n v="1388383200"/>
    <x v="154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4999999999998"/>
    <x v="1"/>
    <n v="41"/>
    <n v="113.17"/>
    <x v="1"/>
    <s v="USD"/>
    <n v="1449554400"/>
    <x v="155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"/>
    <x v="1"/>
    <n v="1821"/>
    <n v="105.01"/>
    <x v="1"/>
    <s v="USD"/>
    <n v="1553662800"/>
    <x v="156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n v="1.6231"/>
    <x v="1"/>
    <n v="164"/>
    <n v="79.180000000000007"/>
    <x v="1"/>
    <s v="USD"/>
    <n v="1556341200"/>
    <x v="157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0000000000005"/>
    <x v="0"/>
    <n v="75"/>
    <n v="57.33"/>
    <x v="1"/>
    <s v="USD"/>
    <n v="1442984400"/>
    <x v="158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4000000000001"/>
    <x v="1"/>
    <n v="157"/>
    <n v="58.18"/>
    <x v="5"/>
    <s v="CHF"/>
    <n v="1544248800"/>
    <x v="159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n v="2.5326"/>
    <x v="1"/>
    <n v="246"/>
    <n v="36.03"/>
    <x v="1"/>
    <s v="USD"/>
    <n v="1508475600"/>
    <x v="16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7"/>
    <x v="1"/>
    <n v="1396"/>
    <n v="107.99"/>
    <x v="1"/>
    <s v="USD"/>
    <n v="1507438800"/>
    <x v="161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n v="1.2199"/>
    <x v="1"/>
    <n v="2506"/>
    <n v="44.01"/>
    <x v="1"/>
    <s v="USD"/>
    <n v="1501563600"/>
    <x v="162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"/>
    <x v="1"/>
    <n v="244"/>
    <n v="55.08"/>
    <x v="1"/>
    <s v="USD"/>
    <n v="1292997600"/>
    <x v="163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4000000000002"/>
    <x v="1"/>
    <n v="146"/>
    <n v="74"/>
    <x v="2"/>
    <s v="AUD"/>
    <n v="1370840400"/>
    <x v="164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999999999999"/>
    <x v="0"/>
    <n v="955"/>
    <n v="42"/>
    <x v="3"/>
    <s v="DKK"/>
    <n v="1550815200"/>
    <x v="165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000000000001"/>
    <x v="1"/>
    <n v="1267"/>
    <n v="77.989999999999995"/>
    <x v="1"/>
    <s v="USD"/>
    <n v="1339909200"/>
    <x v="166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99999999999999E-2"/>
    <x v="0"/>
    <n v="67"/>
    <n v="82.51"/>
    <x v="1"/>
    <s v="USD"/>
    <n v="1501736400"/>
    <x v="167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0000000000001"/>
    <x v="0"/>
    <n v="5"/>
    <n v="104.2"/>
    <x v="1"/>
    <s v="USD"/>
    <n v="1395291600"/>
    <x v="168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9999999999998"/>
    <x v="0"/>
    <n v="26"/>
    <n v="25.5"/>
    <x v="1"/>
    <s v="USD"/>
    <n v="1405746000"/>
    <x v="169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000000000001"/>
    <x v="1"/>
    <n v="1561"/>
    <n v="100.98"/>
    <x v="1"/>
    <s v="USD"/>
    <n v="1368853200"/>
    <x v="17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999999999999"/>
    <x v="1"/>
    <n v="48"/>
    <n v="111.83"/>
    <x v="1"/>
    <s v="USD"/>
    <n v="1444021200"/>
    <x v="171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0000000000002"/>
    <x v="0"/>
    <n v="1130"/>
    <n v="42"/>
    <x v="1"/>
    <s v="USD"/>
    <n v="1472619600"/>
    <x v="172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29999999999997"/>
    <x v="0"/>
    <n v="782"/>
    <n v="110.05"/>
    <x v="1"/>
    <s v="USD"/>
    <n v="1472878800"/>
    <x v="173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999999999996"/>
    <x v="1"/>
    <n v="2739"/>
    <n v="59"/>
    <x v="1"/>
    <s v="USD"/>
    <n v="1289800800"/>
    <x v="174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9999999999996"/>
    <x v="0"/>
    <n v="210"/>
    <n v="32.99"/>
    <x v="1"/>
    <s v="USD"/>
    <n v="1505970000"/>
    <x v="175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99999999999"/>
    <x v="1"/>
    <n v="3537"/>
    <n v="45.01"/>
    <x v="0"/>
    <s v="CAD"/>
    <n v="1363496400"/>
    <x v="176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6"/>
    <x v="1"/>
    <n v="2107"/>
    <n v="81.98"/>
    <x v="2"/>
    <s v="AUD"/>
    <n v="1269234000"/>
    <x v="177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799999999999999"/>
    <x v="0"/>
    <n v="136"/>
    <n v="39.08"/>
    <x v="1"/>
    <s v="USD"/>
    <n v="1507093200"/>
    <x v="178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000000000003"/>
    <x v="1"/>
    <n v="3318"/>
    <n v="59"/>
    <x v="3"/>
    <s v="DKK"/>
    <n v="1560574800"/>
    <x v="179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20000000000004"/>
    <x v="0"/>
    <n v="86"/>
    <n v="40.99"/>
    <x v="0"/>
    <s v="CAD"/>
    <n v="1284008400"/>
    <x v="18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6000000000001"/>
    <x v="1"/>
    <n v="340"/>
    <n v="31.03"/>
    <x v="1"/>
    <s v="USD"/>
    <n v="1556859600"/>
    <x v="181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9"/>
    <x v="1"/>
    <s v="USD"/>
    <n v="1526187600"/>
    <x v="182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29999999999997"/>
    <x v="0"/>
    <n v="886"/>
    <n v="32.01"/>
    <x v="1"/>
    <s v="USD"/>
    <n v="1400821200"/>
    <x v="183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n v="2.2987000000000002"/>
    <x v="1"/>
    <n v="1442"/>
    <n v="95.97"/>
    <x v="0"/>
    <s v="CAD"/>
    <n v="1361599200"/>
    <x v="184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"/>
    <x v="0"/>
    <n v="35"/>
    <n v="75"/>
    <x v="6"/>
    <s v="EUR"/>
    <n v="1417500000"/>
    <x v="185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30000000000001"/>
    <x v="3"/>
    <n v="441"/>
    <n v="102.05"/>
    <x v="1"/>
    <s v="USD"/>
    <n v="1457071200"/>
    <x v="186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n v="0.68589999999999995"/>
    <x v="0"/>
    <n v="24"/>
    <n v="105.75"/>
    <x v="1"/>
    <s v="USD"/>
    <n v="1370322000"/>
    <x v="187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n v="0.3795"/>
    <x v="0"/>
    <n v="86"/>
    <n v="37.07"/>
    <x v="6"/>
    <s v="EUR"/>
    <n v="1552366800"/>
    <x v="188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89999999999999"/>
    <x v="0"/>
    <n v="243"/>
    <n v="35.049999999999997"/>
    <x v="1"/>
    <s v="USD"/>
    <n v="1403845200"/>
    <x v="189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n v="0.45639999999999997"/>
    <x v="0"/>
    <n v="65"/>
    <n v="46.34"/>
    <x v="1"/>
    <s v="USD"/>
    <n v="1523163600"/>
    <x v="19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"/>
    <x v="1"/>
    <n v="126"/>
    <n v="69.17"/>
    <x v="1"/>
    <s v="USD"/>
    <n v="1442206800"/>
    <x v="191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n v="3.6175000000000002"/>
    <x v="1"/>
    <n v="524"/>
    <n v="109.08"/>
    <x v="1"/>
    <s v="USD"/>
    <n v="1532840400"/>
    <x v="192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9999999999995"/>
    <x v="0"/>
    <n v="100"/>
    <n v="51.78"/>
    <x v="3"/>
    <s v="DKK"/>
    <n v="1472878800"/>
    <x v="173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000000000002"/>
    <x v="1"/>
    <n v="1989"/>
    <n v="82.01"/>
    <x v="1"/>
    <s v="USD"/>
    <n v="1498194000"/>
    <x v="193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600000000000004E-2"/>
    <x v="0"/>
    <n v="168"/>
    <n v="35.96"/>
    <x v="1"/>
    <s v="USD"/>
    <n v="1281070800"/>
    <x v="194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9999999999994"/>
    <x v="0"/>
    <n v="13"/>
    <n v="74.459999999999994"/>
    <x v="1"/>
    <s v="USD"/>
    <n v="1436245200"/>
    <x v="195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n v="1269493200"/>
    <x v="152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8999999999996"/>
    <x v="1"/>
    <n v="157"/>
    <n v="91.11"/>
    <x v="1"/>
    <s v="USD"/>
    <n v="1406264400"/>
    <x v="196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"/>
    <x v="3"/>
    <n v="82"/>
    <n v="79.790000000000006"/>
    <x v="1"/>
    <s v="USD"/>
    <n v="1317531600"/>
    <x v="197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1000000000001"/>
    <x v="1"/>
    <n v="4498"/>
    <n v="43"/>
    <x v="2"/>
    <s v="AUD"/>
    <n v="1484632800"/>
    <x v="198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n v="3.3700000000000001E-2"/>
    <x v="0"/>
    <n v="40"/>
    <n v="63.23"/>
    <x v="1"/>
    <s v="USD"/>
    <n v="1301806800"/>
    <x v="199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n v="4.3185000000000002"/>
    <x v="1"/>
    <n v="80"/>
    <n v="70.180000000000007"/>
    <x v="1"/>
    <s v="USD"/>
    <n v="1539752400"/>
    <x v="2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0000000000002"/>
    <x v="3"/>
    <n v="57"/>
    <n v="61.33"/>
    <x v="1"/>
    <s v="USD"/>
    <n v="1267250400"/>
    <x v="201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x v="202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000000000001"/>
    <x v="1"/>
    <n v="2053"/>
    <n v="96.98"/>
    <x v="1"/>
    <s v="USD"/>
    <n v="1510207200"/>
    <x v="203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90000000000001"/>
    <x v="2"/>
    <n v="808"/>
    <n v="51"/>
    <x v="2"/>
    <s v="AUD"/>
    <n v="1462510800"/>
    <x v="204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30000000000001"/>
    <x v="0"/>
    <n v="226"/>
    <n v="28.04"/>
    <x v="3"/>
    <s v="DKK"/>
    <n v="1488520800"/>
    <x v="205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0000000000004"/>
    <x v="0"/>
    <n v="1625"/>
    <n v="60.98"/>
    <x v="1"/>
    <s v="USD"/>
    <n v="1377579600"/>
    <x v="206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"/>
    <x v="1"/>
    <n v="168"/>
    <n v="73.209999999999994"/>
    <x v="1"/>
    <s v="USD"/>
    <n v="1576389600"/>
    <x v="207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"/>
    <x v="1"/>
    <n v="4289"/>
    <n v="40"/>
    <x v="1"/>
    <s v="USD"/>
    <n v="1289019600"/>
    <x v="208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00000000001"/>
    <x v="1"/>
    <n v="165"/>
    <n v="86.81"/>
    <x v="1"/>
    <s v="USD"/>
    <n v="1282194000"/>
    <x v="209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399999999999997E-2"/>
    <x v="0"/>
    <n v="143"/>
    <n v="42.13"/>
    <x v="1"/>
    <s v="USD"/>
    <n v="1550037600"/>
    <x v="21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"/>
    <x v="1"/>
    <n v="1815"/>
    <n v="103.98"/>
    <x v="1"/>
    <s v="USD"/>
    <n v="1321941600"/>
    <x v="211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0000000000001"/>
    <x v="0"/>
    <n v="934"/>
    <n v="62"/>
    <x v="1"/>
    <s v="USD"/>
    <n v="1556427600"/>
    <x v="212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5"/>
    <x v="1"/>
    <n v="397"/>
    <n v="31.01"/>
    <x v="4"/>
    <s v="GBP"/>
    <n v="1320991200"/>
    <x v="213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999999999999"/>
    <x v="1"/>
    <n v="1539"/>
    <n v="89.99"/>
    <x v="1"/>
    <s v="USD"/>
    <n v="1345093200"/>
    <x v="214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n v="8.4400000000000003E-2"/>
    <x v="0"/>
    <n v="17"/>
    <n v="39.24"/>
    <x v="1"/>
    <s v="USD"/>
    <n v="1309496400"/>
    <x v="215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9999999999995"/>
    <x v="0"/>
    <n v="2179"/>
    <n v="54.99"/>
    <x v="1"/>
    <s v="USD"/>
    <n v="1340254800"/>
    <x v="216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n v="1.3797999999999999"/>
    <x v="1"/>
    <n v="138"/>
    <n v="47.99"/>
    <x v="1"/>
    <s v="USD"/>
    <n v="1412226000"/>
    <x v="217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000000000004"/>
    <x v="0"/>
    <n v="931"/>
    <n v="87.97"/>
    <x v="1"/>
    <s v="USD"/>
    <n v="1458104400"/>
    <x v="218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n v="4.0364000000000004"/>
    <x v="1"/>
    <n v="3594"/>
    <n v="52"/>
    <x v="1"/>
    <s v="USD"/>
    <n v="1411534800"/>
    <x v="219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000000000001"/>
    <x v="1"/>
    <n v="5880"/>
    <n v="30"/>
    <x v="1"/>
    <s v="USD"/>
    <n v="1399093200"/>
    <x v="22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n v="3.6663000000000001"/>
    <x v="1"/>
    <n v="112"/>
    <n v="98.21"/>
    <x v="1"/>
    <s v="USD"/>
    <n v="1270702800"/>
    <x v="221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"/>
    <x v="1"/>
    <n v="943"/>
    <n v="108.96"/>
    <x v="1"/>
    <s v="USD"/>
    <n v="1431666000"/>
    <x v="222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1000000000001"/>
    <x v="1"/>
    <n v="2468"/>
    <n v="67"/>
    <x v="1"/>
    <s v="USD"/>
    <n v="1472619600"/>
    <x v="172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9000000000001"/>
    <x v="1"/>
    <n v="2551"/>
    <n v="64.989999999999995"/>
    <x v="1"/>
    <s v="USD"/>
    <n v="1496293200"/>
    <x v="223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999999999998"/>
    <x v="1"/>
    <n v="101"/>
    <n v="99.84"/>
    <x v="1"/>
    <s v="USD"/>
    <n v="1575612000"/>
    <x v="224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1"/>
    <x v="3"/>
    <n v="67"/>
    <n v="82.43"/>
    <x v="1"/>
    <s v="USD"/>
    <n v="1369112400"/>
    <x v="225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n v="1.7125999999999999"/>
    <x v="1"/>
    <n v="92"/>
    <n v="63.29"/>
    <x v="1"/>
    <s v="USD"/>
    <n v="1469422800"/>
    <x v="226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"/>
    <x v="1"/>
    <n v="62"/>
    <n v="96.77"/>
    <x v="1"/>
    <s v="USD"/>
    <n v="1307854800"/>
    <x v="227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1"/>
    <x v="6"/>
    <s v="EUR"/>
    <n v="1503378000"/>
    <x v="228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"/>
    <x v="0"/>
    <n v="92"/>
    <n v="39.01"/>
    <x v="1"/>
    <s v="USD"/>
    <n v="1486965600"/>
    <x v="229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"/>
    <x v="0"/>
    <n v="57"/>
    <n v="75.84"/>
    <x v="2"/>
    <s v="AUD"/>
    <n v="1561438800"/>
    <x v="23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8000000000001"/>
    <x v="1"/>
    <n v="329"/>
    <n v="45.05"/>
    <x v="1"/>
    <s v="USD"/>
    <n v="1398402000"/>
    <x v="231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999999999997"/>
    <x v="1"/>
    <n v="97"/>
    <n v="104.52"/>
    <x v="3"/>
    <s v="DKK"/>
    <n v="1513231200"/>
    <x v="232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9999999999996"/>
    <x v="0"/>
    <n v="41"/>
    <n v="76.27"/>
    <x v="1"/>
    <s v="USD"/>
    <n v="1440824400"/>
    <x v="233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9"/>
    <x v="1"/>
    <n v="1784"/>
    <n v="69.02"/>
    <x v="1"/>
    <s v="USD"/>
    <n v="1281070800"/>
    <x v="194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2000000000001"/>
    <x v="1"/>
    <n v="1684"/>
    <n v="101.98"/>
    <x v="2"/>
    <s v="AUD"/>
    <n v="1397365200"/>
    <x v="234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3000000000001"/>
    <x v="1"/>
    <n v="250"/>
    <n v="42.92"/>
    <x v="1"/>
    <s v="USD"/>
    <n v="1494392400"/>
    <x v="235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2000000000004"/>
    <x v="1"/>
    <n v="238"/>
    <n v="43.03"/>
    <x v="1"/>
    <s v="USD"/>
    <n v="1520143200"/>
    <x v="236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0999999999998"/>
    <x v="1"/>
    <n v="53"/>
    <n v="75.25"/>
    <x v="1"/>
    <s v="USD"/>
    <n v="1405314000"/>
    <x v="237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3999999999999"/>
    <x v="1"/>
    <n v="214"/>
    <n v="69.02"/>
    <x v="1"/>
    <s v="USD"/>
    <n v="1396846800"/>
    <x v="238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000000000001"/>
    <x v="1"/>
    <n v="222"/>
    <n v="65.989999999999995"/>
    <x v="1"/>
    <s v="USD"/>
    <n v="1375678800"/>
    <x v="239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2"/>
    <x v="1"/>
    <n v="1884"/>
    <n v="98.01"/>
    <x v="1"/>
    <s v="USD"/>
    <n v="1482386400"/>
    <x v="24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999999999999"/>
    <x v="1"/>
    <n v="218"/>
    <n v="60.11"/>
    <x v="2"/>
    <s v="AUD"/>
    <n v="1420005600"/>
    <x v="241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999999999998"/>
    <x v="1"/>
    <n v="6465"/>
    <n v="26"/>
    <x v="1"/>
    <s v="USD"/>
    <n v="1420178400"/>
    <x v="242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n v="1264399200"/>
    <x v="67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n v="0.54079999999999995"/>
    <x v="0"/>
    <n v="101"/>
    <n v="38.020000000000003"/>
    <x v="1"/>
    <s v="USD"/>
    <n v="1355032800"/>
    <x v="243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"/>
    <x v="1"/>
    <s v="USD"/>
    <n v="1382677200"/>
    <x v="244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19999999999999"/>
    <x v="0"/>
    <n v="1335"/>
    <n v="81.02"/>
    <x v="0"/>
    <s v="CAD"/>
    <n v="1302238800"/>
    <x v="245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"/>
    <x v="1"/>
    <n v="88"/>
    <n v="96.65"/>
    <x v="1"/>
    <s v="USD"/>
    <n v="1487656800"/>
    <x v="246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7"/>
    <x v="1"/>
    <n v="1697"/>
    <n v="57"/>
    <x v="1"/>
    <s v="USD"/>
    <n v="1297836000"/>
    <x v="247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n v="0.2339"/>
    <x v="0"/>
    <n v="15"/>
    <n v="63.93"/>
    <x v="4"/>
    <s v="GBP"/>
    <n v="1453615200"/>
    <x v="248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6"/>
    <x v="1"/>
    <s v="USD"/>
    <n v="1362463200"/>
    <x v="249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"/>
    <x v="1"/>
    <s v="USD"/>
    <n v="1481176800"/>
    <x v="25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0000000000007"/>
    <x v="1"/>
    <s v="USD"/>
    <n v="1354946400"/>
    <x v="251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7"/>
    <x v="1"/>
    <n v="261"/>
    <n v="38.07"/>
    <x v="1"/>
    <s v="USD"/>
    <n v="1348808400"/>
    <x v="136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"/>
    <x v="0"/>
    <n v="454"/>
    <n v="57.94"/>
    <x v="1"/>
    <s v="USD"/>
    <n v="1282712400"/>
    <x v="252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000000000001"/>
    <x v="1"/>
    <n v="107"/>
    <n v="49.79"/>
    <x v="1"/>
    <s v="USD"/>
    <n v="1301979600"/>
    <x v="253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n v="3.7090000000000001"/>
    <x v="1"/>
    <n v="199"/>
    <n v="54.05"/>
    <x v="1"/>
    <s v="USD"/>
    <n v="1263016800"/>
    <x v="254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5999999999998"/>
    <x v="1"/>
    <n v="5512"/>
    <n v="30"/>
    <x v="1"/>
    <s v="USD"/>
    <n v="1360648800"/>
    <x v="255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n v="1.2307999999999999"/>
    <x v="1"/>
    <n v="86"/>
    <n v="70.13"/>
    <x v="1"/>
    <s v="USD"/>
    <n v="1451800800"/>
    <x v="256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n v="0.76770000000000005"/>
    <x v="0"/>
    <n v="3182"/>
    <n v="27"/>
    <x v="6"/>
    <s v="EUR"/>
    <n v="1415340000"/>
    <x v="257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n v="2.3361999999999998"/>
    <x v="1"/>
    <n v="2768"/>
    <n v="51.99"/>
    <x v="2"/>
    <s v="AUD"/>
    <n v="1351054800"/>
    <x v="258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n v="1.8052999999999999"/>
    <x v="1"/>
    <n v="48"/>
    <n v="56.42"/>
    <x v="1"/>
    <s v="USD"/>
    <n v="1349326800"/>
    <x v="259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3"/>
    <x v="1"/>
    <n v="87"/>
    <n v="101.63"/>
    <x v="1"/>
    <s v="USD"/>
    <n v="1548914400"/>
    <x v="26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9999999999999"/>
    <x v="3"/>
    <n v="1890"/>
    <n v="25.01"/>
    <x v="1"/>
    <s v="USD"/>
    <n v="1291269600"/>
    <x v="261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699999999999999E-2"/>
    <x v="2"/>
    <n v="61"/>
    <n v="32.020000000000003"/>
    <x v="1"/>
    <s v="USD"/>
    <n v="1449468000"/>
    <x v="262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99999999998"/>
    <x v="1"/>
    <n v="1894"/>
    <n v="82.02"/>
    <x v="1"/>
    <s v="USD"/>
    <n v="1562734800"/>
    <x v="263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00000000001"/>
    <x v="1"/>
    <n v="282"/>
    <n v="37.96"/>
    <x v="0"/>
    <s v="CAD"/>
    <n v="1505624400"/>
    <x v="264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1"/>
    <x v="0"/>
    <n v="15"/>
    <n v="51.53"/>
    <x v="1"/>
    <s v="USD"/>
    <n v="1509948000"/>
    <x v="265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0999999999998"/>
    <x v="1"/>
    <n v="116"/>
    <n v="81.2"/>
    <x v="1"/>
    <s v="USD"/>
    <n v="1554526800"/>
    <x v="266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"/>
    <x v="1"/>
    <s v="USD"/>
    <n v="1334811600"/>
    <x v="267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300000000001"/>
    <x v="1"/>
    <n v="83"/>
    <n v="89.94"/>
    <x v="1"/>
    <s v="USD"/>
    <n v="1279515600"/>
    <x v="268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9000000000001"/>
    <x v="1"/>
    <n v="91"/>
    <n v="96.69"/>
    <x v="1"/>
    <s v="USD"/>
    <n v="1353909600"/>
    <x v="269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"/>
    <x v="1"/>
    <s v="USD"/>
    <n v="1535950800"/>
    <x v="27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9"/>
    <x v="1"/>
    <s v="USD"/>
    <n v="1511244000"/>
    <x v="271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000000000001"/>
    <x v="0"/>
    <n v="2062"/>
    <n v="73.010000000000005"/>
    <x v="1"/>
    <s v="USD"/>
    <n v="1331445600"/>
    <x v="272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5"/>
    <x v="1"/>
    <n v="133"/>
    <n v="68.239999999999995"/>
    <x v="1"/>
    <s v="USD"/>
    <n v="1480226400"/>
    <x v="73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9999999999999"/>
    <x v="0"/>
    <n v="29"/>
    <n v="52.31"/>
    <x v="3"/>
    <s v="DKK"/>
    <n v="1464584400"/>
    <x v="273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n v="0.83189999999999997"/>
    <x v="0"/>
    <n v="132"/>
    <n v="61.77"/>
    <x v="1"/>
    <s v="USD"/>
    <n v="1335848400"/>
    <x v="274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2999999999999"/>
    <x v="1"/>
    <n v="254"/>
    <n v="25.03"/>
    <x v="1"/>
    <s v="USD"/>
    <n v="1473483600"/>
    <x v="275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n v="0.17449999999999999"/>
    <x v="3"/>
    <n v="184"/>
    <n v="106.29"/>
    <x v="1"/>
    <s v="USD"/>
    <n v="1479880800"/>
    <x v="276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00000000002"/>
    <x v="1"/>
    <n v="176"/>
    <n v="75.069999999999993"/>
    <x v="1"/>
    <s v="USD"/>
    <n v="1430197200"/>
    <x v="277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n v="0.97789999999999999"/>
    <x v="0"/>
    <n v="137"/>
    <n v="39.97"/>
    <x v="3"/>
    <s v="DKK"/>
    <n v="1331701200"/>
    <x v="278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79999999999997"/>
    <x v="0"/>
    <s v="CAD"/>
    <n v="1438578000"/>
    <x v="279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0000000000004"/>
    <x v="0"/>
    <n v="908"/>
    <n v="101.02"/>
    <x v="1"/>
    <s v="USD"/>
    <n v="1368162000"/>
    <x v="28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0999999999996"/>
    <x v="1"/>
    <n v="107"/>
    <n v="76.81"/>
    <x v="1"/>
    <s v="USD"/>
    <n v="1318654800"/>
    <x v="281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n v="9.8199999999999996E-2"/>
    <x v="0"/>
    <n v="10"/>
    <n v="71.7"/>
    <x v="1"/>
    <s v="USD"/>
    <n v="1331874000"/>
    <x v="282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n v="0.1638"/>
    <x v="3"/>
    <n v="32"/>
    <n v="33.28"/>
    <x v="6"/>
    <s v="EUR"/>
    <n v="1286254800"/>
    <x v="283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n v="13.396699999999999"/>
    <x v="1"/>
    <n v="183"/>
    <n v="43.92"/>
    <x v="1"/>
    <s v="USD"/>
    <n v="1540530000"/>
    <x v="284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49999999999998"/>
    <x v="0"/>
    <n v="1910"/>
    <n v="36"/>
    <x v="5"/>
    <s v="CHF"/>
    <n v="1381813200"/>
    <x v="285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49999999999999"/>
    <x v="0"/>
    <n v="38"/>
    <n v="88.21"/>
    <x v="2"/>
    <s v="AUD"/>
    <n v="1548655200"/>
    <x v="286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40000000000002"/>
    <x v="0"/>
    <n v="104"/>
    <n v="65.239999999999995"/>
    <x v="2"/>
    <s v="AUD"/>
    <n v="1389679200"/>
    <x v="287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"/>
    <x v="1"/>
    <n v="72"/>
    <n v="69.959999999999994"/>
    <x v="1"/>
    <s v="USD"/>
    <n v="1456466400"/>
    <x v="288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19999999999999"/>
    <x v="0"/>
    <n v="49"/>
    <n v="39.880000000000003"/>
    <x v="1"/>
    <s v="USD"/>
    <n v="1456984800"/>
    <x v="289"/>
    <n v="1461819600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n v="1504069200"/>
    <x v="29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7"/>
    <x v="1"/>
    <n v="295"/>
    <n v="41.02"/>
    <x v="1"/>
    <s v="USD"/>
    <n v="1424930400"/>
    <x v="291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0000000000002"/>
    <x v="0"/>
    <n v="245"/>
    <n v="98.91"/>
    <x v="1"/>
    <s v="USD"/>
    <n v="1535864400"/>
    <x v="292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20000000000005"/>
    <x v="0"/>
    <n v="32"/>
    <n v="87.78"/>
    <x v="1"/>
    <s v="USD"/>
    <n v="1452146400"/>
    <x v="293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000000000003"/>
    <x v="1"/>
    <n v="142"/>
    <n v="80.77"/>
    <x v="1"/>
    <s v="USD"/>
    <n v="1470546000"/>
    <x v="294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0999999999999"/>
    <x v="1"/>
    <n v="85"/>
    <n v="94.28"/>
    <x v="1"/>
    <s v="USD"/>
    <n v="1458363600"/>
    <x v="295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100000000000004E-2"/>
    <x v="0"/>
    <n v="7"/>
    <n v="73.430000000000007"/>
    <x v="1"/>
    <s v="USD"/>
    <n v="1500008400"/>
    <x v="296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999999999999"/>
    <x v="1"/>
    <n v="659"/>
    <n v="65.97"/>
    <x v="3"/>
    <s v="DKK"/>
    <n v="1338958800"/>
    <x v="297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80000000000001"/>
    <x v="0"/>
    <n v="803"/>
    <n v="109.04"/>
    <x v="1"/>
    <s v="USD"/>
    <n v="1303102800"/>
    <x v="298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0000000000001"/>
    <x v="3"/>
    <n v="75"/>
    <n v="41.16"/>
    <x v="1"/>
    <s v="USD"/>
    <n v="1316581200"/>
    <x v="299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0000000000001"/>
    <x v="0"/>
    <n v="16"/>
    <n v="99.13"/>
    <x v="1"/>
    <s v="USD"/>
    <n v="1270789200"/>
    <x v="3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n v="2.0337000000000001"/>
    <x v="1"/>
    <n v="121"/>
    <n v="105.88"/>
    <x v="1"/>
    <s v="USD"/>
    <n v="1297836000"/>
    <x v="247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n v="3.1023000000000001"/>
    <x v="1"/>
    <n v="3742"/>
    <n v="49"/>
    <x v="1"/>
    <s v="USD"/>
    <n v="1382677200"/>
    <x v="244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n v="3.9531999999999998"/>
    <x v="1"/>
    <n v="223"/>
    <n v="39"/>
    <x v="1"/>
    <s v="USD"/>
    <n v="1330322400"/>
    <x v="301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n v="2.9470999999999998"/>
    <x v="1"/>
    <n v="133"/>
    <n v="31.02"/>
    <x v="1"/>
    <s v="USD"/>
    <n v="1552366800"/>
    <x v="188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89999999999998"/>
    <x v="0"/>
    <n v="31"/>
    <n v="103.87"/>
    <x v="1"/>
    <s v="USD"/>
    <n v="1400907600"/>
    <x v="302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9999999999995"/>
    <x v="0"/>
    <n v="108"/>
    <n v="59.27"/>
    <x v="6"/>
    <s v="EUR"/>
    <n v="1574143200"/>
    <x v="303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n v="0.1923"/>
    <x v="0"/>
    <n v="30"/>
    <n v="42.3"/>
    <x v="1"/>
    <s v="USD"/>
    <n v="1494738000"/>
    <x v="304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0000000000001"/>
    <x v="0"/>
    <n v="17"/>
    <n v="53.12"/>
    <x v="1"/>
    <s v="USD"/>
    <n v="1392357600"/>
    <x v="305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n v="0.38700000000000001"/>
    <x v="3"/>
    <n v="64"/>
    <n v="50.8"/>
    <x v="1"/>
    <s v="USD"/>
    <n v="1281589200"/>
    <x v="306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n v="9.5899999999999999E-2"/>
    <x v="0"/>
    <n v="80"/>
    <n v="101.15"/>
    <x v="1"/>
    <s v="USD"/>
    <n v="1305003600"/>
    <x v="307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0000000000001"/>
    <x v="0"/>
    <n v="2468"/>
    <n v="65"/>
    <x v="1"/>
    <s v="USD"/>
    <n v="1301634000"/>
    <x v="308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"/>
    <x v="1"/>
    <n v="5168"/>
    <n v="38"/>
    <x v="1"/>
    <s v="USD"/>
    <n v="1290664800"/>
    <x v="309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29999999999999"/>
    <x v="0"/>
    <n v="26"/>
    <n v="82.62"/>
    <x v="4"/>
    <s v="GBP"/>
    <n v="1395896400"/>
    <x v="31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6000000000001"/>
    <x v="1"/>
    <n v="307"/>
    <n v="37.94"/>
    <x v="1"/>
    <s v="USD"/>
    <n v="1434862800"/>
    <x v="311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0000000000001"/>
    <x v="0"/>
    <n v="73"/>
    <n v="80.78"/>
    <x v="1"/>
    <s v="USD"/>
    <n v="1529125200"/>
    <x v="79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89999999999998"/>
    <x v="0"/>
    <n v="128"/>
    <n v="25.98"/>
    <x v="1"/>
    <s v="USD"/>
    <n v="1451109600"/>
    <x v="312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40000000000002"/>
    <x v="0"/>
    <n v="33"/>
    <n v="30.36"/>
    <x v="1"/>
    <s v="USD"/>
    <n v="1566968400"/>
    <x v="313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5999999999999"/>
    <x v="1"/>
    <n v="2441"/>
    <n v="54"/>
    <x v="1"/>
    <s v="USD"/>
    <n v="1543557600"/>
    <x v="314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n v="0.22900000000000001"/>
    <x v="2"/>
    <n v="211"/>
    <n v="101.79"/>
    <x v="1"/>
    <s v="USD"/>
    <n v="1481522400"/>
    <x v="315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999999999999"/>
    <x v="1"/>
    <n v="1385"/>
    <n v="45"/>
    <x v="4"/>
    <s v="GBP"/>
    <n v="1512712800"/>
    <x v="316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999999999996"/>
    <x v="1"/>
    <n v="190"/>
    <n v="77.069999999999993"/>
    <x v="1"/>
    <s v="USD"/>
    <n v="1324274400"/>
    <x v="317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"/>
    <x v="1"/>
    <n v="470"/>
    <n v="88.08"/>
    <x v="1"/>
    <s v="USD"/>
    <n v="1364446800"/>
    <x v="318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6"/>
    <x v="1"/>
    <n v="253"/>
    <n v="47.04"/>
    <x v="1"/>
    <s v="USD"/>
    <n v="1542693600"/>
    <x v="319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n v="1.8661000000000001"/>
    <x v="1"/>
    <n v="1113"/>
    <n v="111"/>
    <x v="1"/>
    <s v="USD"/>
    <n v="1515564000"/>
    <x v="32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n v="1.1429"/>
    <x v="1"/>
    <n v="2283"/>
    <n v="87"/>
    <x v="1"/>
    <s v="USD"/>
    <n v="1573797600"/>
    <x v="32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n v="0.97030000000000005"/>
    <x v="0"/>
    <n v="1072"/>
    <n v="63.99"/>
    <x v="1"/>
    <s v="USD"/>
    <n v="1292392800"/>
    <x v="321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n v="1.2282"/>
    <x v="1"/>
    <n v="1095"/>
    <n v="105.99"/>
    <x v="1"/>
    <s v="USD"/>
    <n v="1573452000"/>
    <x v="322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000000000001"/>
    <x v="1"/>
    <n v="1690"/>
    <n v="73.989999999999995"/>
    <x v="1"/>
    <s v="USD"/>
    <n v="1317790800"/>
    <x v="323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49999999999999"/>
    <x v="3"/>
    <n v="1297"/>
    <n v="84.02"/>
    <x v="0"/>
    <s v="CAD"/>
    <n v="1501650000"/>
    <x v="324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0000000000002"/>
    <x v="0"/>
    <n v="393"/>
    <n v="88.97"/>
    <x v="1"/>
    <s v="USD"/>
    <n v="1323669600"/>
    <x v="325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70000000000001"/>
    <x v="0"/>
    <n v="1257"/>
    <n v="76.989999999999995"/>
    <x v="1"/>
    <s v="USD"/>
    <n v="1440738000"/>
    <x v="326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0000000000001"/>
    <x v="0"/>
    <n v="328"/>
    <n v="97.15"/>
    <x v="1"/>
    <s v="USD"/>
    <n v="1374296400"/>
    <x v="327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n v="0.53920000000000001"/>
    <x v="0"/>
    <n v="147"/>
    <n v="33.01"/>
    <x v="1"/>
    <s v="USD"/>
    <n v="1384840800"/>
    <x v="328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0000000000001"/>
    <x v="0"/>
    <n v="830"/>
    <n v="99.95"/>
    <x v="1"/>
    <s v="USD"/>
    <n v="1516600800"/>
    <x v="329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"/>
    <x v="0"/>
    <n v="331"/>
    <n v="69.97"/>
    <x v="4"/>
    <s v="GBP"/>
    <n v="1436418000"/>
    <x v="33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8"/>
    <x v="0"/>
    <n v="25"/>
    <n v="110.32"/>
    <x v="1"/>
    <s v="USD"/>
    <n v="1503550800"/>
    <x v="331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8"/>
    <x v="1"/>
    <n v="191"/>
    <n v="66.010000000000005"/>
    <x v="1"/>
    <s v="USD"/>
    <n v="1423634400"/>
    <x v="332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"/>
    <x v="0"/>
    <n v="3483"/>
    <n v="41.01"/>
    <x v="1"/>
    <s v="USD"/>
    <n v="1487224800"/>
    <x v="333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69999999999995"/>
    <x v="0"/>
    <n v="923"/>
    <n v="103.96"/>
    <x v="1"/>
    <s v="USD"/>
    <n v="1500008400"/>
    <x v="296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n v="1432098000"/>
    <x v="334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n v="1.2770999999999999"/>
    <x v="1"/>
    <n v="2013"/>
    <n v="47.01"/>
    <x v="1"/>
    <s v="USD"/>
    <n v="1440392400"/>
    <x v="335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n v="0.34889999999999999"/>
    <x v="0"/>
    <n v="33"/>
    <n v="29.61"/>
    <x v="0"/>
    <s v="CAD"/>
    <n v="1446876000"/>
    <x v="336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999999999999"/>
    <x v="1"/>
    <n v="1703"/>
    <n v="81.010000000000005"/>
    <x v="1"/>
    <s v="USD"/>
    <n v="1562302800"/>
    <x v="337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4000000000001"/>
    <x v="1"/>
    <n v="80"/>
    <n v="94.35"/>
    <x v="3"/>
    <s v="DKK"/>
    <n v="1378184400"/>
    <x v="338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"/>
    <x v="2"/>
    <n v="86"/>
    <n v="26.06"/>
    <x v="1"/>
    <s v="USD"/>
    <n v="1485064800"/>
    <x v="339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0000000000001"/>
    <x v="0"/>
    <n v="40"/>
    <n v="85.78"/>
    <x v="6"/>
    <s v="EUR"/>
    <n v="1326520800"/>
    <x v="34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"/>
    <x v="1"/>
    <n v="41"/>
    <n v="103.73"/>
    <x v="1"/>
    <s v="USD"/>
    <n v="1441256400"/>
    <x v="341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"/>
    <x v="0"/>
    <n v="23"/>
    <n v="49.83"/>
    <x v="0"/>
    <s v="CAD"/>
    <n v="1533877200"/>
    <x v="342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"/>
    <x v="1"/>
    <s v="USD"/>
    <n v="1314421200"/>
    <x v="343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000000000001"/>
    <x v="1"/>
    <n v="2875"/>
    <n v="47"/>
    <x v="4"/>
    <s v="GBP"/>
    <n v="1293861600"/>
    <x v="344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"/>
    <x v="1"/>
    <n v="88"/>
    <n v="108.48"/>
    <x v="1"/>
    <s v="USD"/>
    <n v="1507352400"/>
    <x v="345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6"/>
    <x v="1"/>
    <n v="191"/>
    <n v="72.02"/>
    <x v="1"/>
    <s v="USD"/>
    <n v="1296108000"/>
    <x v="65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n v="1.6019000000000001"/>
    <x v="1"/>
    <n v="139"/>
    <n v="59.93"/>
    <x v="1"/>
    <s v="USD"/>
    <n v="1324965600"/>
    <x v="346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n v="16.1633"/>
    <x v="1"/>
    <n v="186"/>
    <n v="78.209999999999994"/>
    <x v="1"/>
    <s v="USD"/>
    <n v="1520229600"/>
    <x v="347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999999999996"/>
    <x v="1"/>
    <n v="112"/>
    <n v="104.78"/>
    <x v="2"/>
    <s v="AUD"/>
    <n v="1482991200"/>
    <x v="348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"/>
    <x v="1"/>
    <n v="101"/>
    <n v="105.52"/>
    <x v="1"/>
    <s v="USD"/>
    <n v="1294034400"/>
    <x v="349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90000000000001"/>
    <x v="0"/>
    <n v="75"/>
    <n v="24.93"/>
    <x v="1"/>
    <s v="USD"/>
    <n v="1413608400"/>
    <x v="35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1"/>
    <x v="1"/>
    <n v="206"/>
    <n v="69.87"/>
    <x v="4"/>
    <s v="GBP"/>
    <n v="1286946000"/>
    <x v="351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2"/>
    <x v="1"/>
    <n v="154"/>
    <n v="95.73"/>
    <x v="1"/>
    <s v="USD"/>
    <n v="1359871200"/>
    <x v="352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5999999999999"/>
    <x v="1"/>
    <n v="5966"/>
    <n v="30"/>
    <x v="1"/>
    <s v="USD"/>
    <n v="1555304400"/>
    <x v="353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99999999997"/>
    <x v="0"/>
    <n v="2176"/>
    <n v="59.01"/>
    <x v="1"/>
    <s v="USD"/>
    <n v="1423375200"/>
    <x v="354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6"/>
    <x v="1"/>
    <n v="169"/>
    <n v="84.76"/>
    <x v="1"/>
    <s v="USD"/>
    <n v="1420696800"/>
    <x v="355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000000000001"/>
    <x v="1"/>
    <n v="2106"/>
    <n v="78.010000000000005"/>
    <x v="1"/>
    <s v="USD"/>
    <n v="1502946000"/>
    <x v="356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9999999999999"/>
    <x v="0"/>
    <n v="441"/>
    <n v="50.05"/>
    <x v="1"/>
    <s v="USD"/>
    <n v="1547186400"/>
    <x v="357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9999999999995"/>
    <x v="0"/>
    <n v="25"/>
    <n v="59.16"/>
    <x v="1"/>
    <s v="USD"/>
    <n v="1444971600"/>
    <x v="358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n v="3.6103000000000001"/>
    <x v="1"/>
    <n v="131"/>
    <n v="93.7"/>
    <x v="1"/>
    <s v="USD"/>
    <n v="1404622800"/>
    <x v="359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6"/>
    <x v="0"/>
    <n v="127"/>
    <n v="40.14"/>
    <x v="1"/>
    <s v="USD"/>
    <n v="1571720400"/>
    <x v="12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n v="0.1396"/>
    <x v="0"/>
    <n v="355"/>
    <n v="70.09"/>
    <x v="1"/>
    <s v="USD"/>
    <n v="1526878800"/>
    <x v="36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39999999999998"/>
    <x v="0"/>
    <n v="44"/>
    <n v="66.180000000000007"/>
    <x v="4"/>
    <s v="GBP"/>
    <n v="1319691600"/>
    <x v="361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"/>
    <x v="1"/>
    <s v="USD"/>
    <n v="1371963600"/>
    <x v="362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3999999999999"/>
    <x v="1"/>
    <n v="155"/>
    <n v="62.9"/>
    <x v="1"/>
    <s v="USD"/>
    <n v="1433739600"/>
    <x v="363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n v="0.63770000000000004"/>
    <x v="0"/>
    <n v="67"/>
    <n v="86.61"/>
    <x v="1"/>
    <s v="USD"/>
    <n v="1508130000"/>
    <x v="364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"/>
    <x v="1"/>
    <n v="189"/>
    <n v="75.13"/>
    <x v="1"/>
    <s v="USD"/>
    <n v="1550037600"/>
    <x v="21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1"/>
    <x v="1"/>
    <n v="4799"/>
    <n v="41"/>
    <x v="1"/>
    <s v="USD"/>
    <n v="1486706400"/>
    <x v="365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7"/>
    <x v="1"/>
    <n v="1137"/>
    <n v="50.01"/>
    <x v="1"/>
    <s v="USD"/>
    <n v="1553835600"/>
    <x v="366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19999999999999"/>
    <x v="0"/>
    <n v="1068"/>
    <n v="96.96"/>
    <x v="1"/>
    <s v="USD"/>
    <n v="1277528400"/>
    <x v="367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"/>
    <x v="0"/>
    <n v="424"/>
    <n v="100.93"/>
    <x v="1"/>
    <s v="USD"/>
    <n v="1339477200"/>
    <x v="368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n v="0.11269999999999999"/>
    <x v="3"/>
    <n v="145"/>
    <n v="89.23"/>
    <x v="5"/>
    <s v="CHF"/>
    <n v="1325656800"/>
    <x v="369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00000000001"/>
    <x v="1"/>
    <n v="1152"/>
    <n v="87.98"/>
    <x v="1"/>
    <s v="USD"/>
    <n v="1288242000"/>
    <x v="37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n v="1.8653999999999999"/>
    <x v="1"/>
    <n v="50"/>
    <n v="89.54"/>
    <x v="1"/>
    <s v="USD"/>
    <n v="1379048400"/>
    <x v="371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00000000000001E-2"/>
    <x v="0"/>
    <n v="151"/>
    <n v="29.09"/>
    <x v="1"/>
    <s v="USD"/>
    <n v="1389679200"/>
    <x v="287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39999999999998"/>
    <x v="0"/>
    <n v="1608"/>
    <n v="42.01"/>
    <x v="1"/>
    <s v="USD"/>
    <n v="1294293600"/>
    <x v="372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000000000001"/>
    <x v="1"/>
    <n v="3059"/>
    <n v="47"/>
    <x v="0"/>
    <s v="CAD"/>
    <n v="1500267600"/>
    <x v="373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n v="4.6938000000000004"/>
    <x v="1"/>
    <n v="34"/>
    <n v="110.44"/>
    <x v="1"/>
    <s v="USD"/>
    <n v="1375074000"/>
    <x v="374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0999999999999"/>
    <x v="1"/>
    <n v="220"/>
    <n v="41.99"/>
    <x v="1"/>
    <s v="USD"/>
    <n v="1323324000"/>
    <x v="375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n v="1.6705000000000001"/>
    <x v="1"/>
    <n v="1604"/>
    <n v="48.01"/>
    <x v="2"/>
    <s v="AUD"/>
    <n v="1538715600"/>
    <x v="376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5999999999999"/>
    <x v="1"/>
    <n v="454"/>
    <n v="31.02"/>
    <x v="1"/>
    <s v="USD"/>
    <n v="1369285200"/>
    <x v="377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n v="7.1776"/>
    <x v="1"/>
    <n v="123"/>
    <n v="99.2"/>
    <x v="6"/>
    <s v="EUR"/>
    <n v="1525755600"/>
    <x v="378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49999999999996"/>
    <x v="0"/>
    <n v="941"/>
    <n v="66.02"/>
    <x v="1"/>
    <s v="USD"/>
    <n v="1296626400"/>
    <x v="379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n v="1376629200"/>
    <x v="38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199999999999"/>
    <x v="1"/>
    <n v="299"/>
    <n v="46.06"/>
    <x v="1"/>
    <s v="USD"/>
    <n v="1572152400"/>
    <x v="381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60000000000001"/>
    <x v="0"/>
    <n v="40"/>
    <n v="73.650000000000006"/>
    <x v="1"/>
    <s v="USD"/>
    <n v="1325829600"/>
    <x v="382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19999999999997"/>
    <x v="0"/>
    <n v="3015"/>
    <n v="55.99"/>
    <x v="0"/>
    <s v="CAD"/>
    <n v="1273640400"/>
    <x v="125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000000000002"/>
    <x v="1"/>
    <n v="2237"/>
    <n v="68.989999999999995"/>
    <x v="1"/>
    <s v="USD"/>
    <n v="1510639200"/>
    <x v="383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n v="0.8962"/>
    <x v="0"/>
    <n v="435"/>
    <n v="60.98"/>
    <x v="1"/>
    <s v="USD"/>
    <n v="1528088400"/>
    <x v="384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999999999999"/>
    <x v="1"/>
    <n v="645"/>
    <n v="110.98"/>
    <x v="1"/>
    <s v="USD"/>
    <n v="1359525600"/>
    <x v="385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000000000002"/>
    <x v="1"/>
    <n v="484"/>
    <n v="25"/>
    <x v="3"/>
    <s v="DKK"/>
    <n v="1570942800"/>
    <x v="386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4"/>
    <x v="1"/>
    <n v="154"/>
    <n v="78.760000000000005"/>
    <x v="0"/>
    <s v="CAD"/>
    <n v="1466398800"/>
    <x v="387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2"/>
    <x v="0"/>
    <n v="714"/>
    <n v="87.96"/>
    <x v="1"/>
    <s v="USD"/>
    <n v="1492491600"/>
    <x v="388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0000000000001"/>
    <x v="2"/>
    <n v="1111"/>
    <n v="49.99"/>
    <x v="1"/>
    <s v="USD"/>
    <n v="1430197200"/>
    <x v="277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3"/>
    <x v="1"/>
    <n v="82"/>
    <n v="99.52"/>
    <x v="1"/>
    <s v="USD"/>
    <n v="1496034000"/>
    <x v="389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6000000000001"/>
    <x v="1"/>
    <n v="134"/>
    <n v="104.82"/>
    <x v="1"/>
    <s v="USD"/>
    <n v="1388728800"/>
    <x v="39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0000000000003"/>
    <x v="2"/>
    <n v="1089"/>
    <n v="108.01"/>
    <x v="1"/>
    <s v="USD"/>
    <n v="1543298400"/>
    <x v="391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999999999998"/>
    <x v="0"/>
    <n v="5497"/>
    <n v="29"/>
    <x v="1"/>
    <s v="USD"/>
    <n v="1271739600"/>
    <x v="392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6"/>
    <x v="0"/>
    <n v="418"/>
    <n v="30.03"/>
    <x v="1"/>
    <s v="USD"/>
    <n v="1326434400"/>
    <x v="393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40000000000001"/>
    <x v="0"/>
    <n v="1439"/>
    <n v="41.01"/>
    <x v="1"/>
    <s v="USD"/>
    <n v="1295244000"/>
    <x v="394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69999999999997"/>
    <x v="0"/>
    <n v="15"/>
    <n v="62.87"/>
    <x v="1"/>
    <s v="USD"/>
    <n v="1541221200"/>
    <x v="395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999999999995"/>
    <x v="0"/>
    <n v="1999"/>
    <n v="47.01"/>
    <x v="0"/>
    <s v="CAD"/>
    <n v="1336280400"/>
    <x v="396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"/>
    <x v="1"/>
    <n v="5203"/>
    <n v="27"/>
    <x v="1"/>
    <s v="USD"/>
    <n v="1324533600"/>
    <x v="397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3"/>
    <x v="1"/>
    <s v="USD"/>
    <n v="1498366800"/>
    <x v="398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90000000000002"/>
    <x v="0"/>
    <n v="118"/>
    <n v="50.97"/>
    <x v="1"/>
    <s v="USD"/>
    <n v="1498712400"/>
    <x v="399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999999999999"/>
    <x v="1"/>
    <n v="205"/>
    <n v="54.02"/>
    <x v="1"/>
    <s v="USD"/>
    <n v="1271480400"/>
    <x v="4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9999999999999"/>
    <x v="0"/>
    <n v="162"/>
    <n v="97.06"/>
    <x v="1"/>
    <s v="USD"/>
    <n v="1316667600"/>
    <x v="116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"/>
    <x v="0"/>
    <n v="83"/>
    <n v="24.87"/>
    <x v="1"/>
    <s v="USD"/>
    <n v="1524027600"/>
    <x v="401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7"/>
    <x v="1"/>
    <n v="92"/>
    <n v="84.42"/>
    <x v="1"/>
    <s v="USD"/>
    <n v="1438059600"/>
    <x v="402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"/>
    <x v="1"/>
    <n v="219"/>
    <n v="47.09"/>
    <x v="1"/>
    <s v="USD"/>
    <n v="1361944800"/>
    <x v="403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"/>
    <x v="1"/>
    <n v="2526"/>
    <n v="78"/>
    <x v="1"/>
    <s v="USD"/>
    <n v="1410584400"/>
    <x v="404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9999999999998"/>
    <x v="0"/>
    <n v="747"/>
    <n v="62.97"/>
    <x v="1"/>
    <s v="USD"/>
    <n v="1297404000"/>
    <x v="405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80000000000005"/>
    <x v="3"/>
    <n v="2138"/>
    <n v="81.010000000000005"/>
    <x v="1"/>
    <s v="USD"/>
    <n v="1392012000"/>
    <x v="406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"/>
    <x v="0"/>
    <n v="84"/>
    <n v="65.319999999999993"/>
    <x v="1"/>
    <s v="USD"/>
    <n v="1569733200"/>
    <x v="407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n v="1.9249000000000001"/>
    <x v="1"/>
    <n v="94"/>
    <n v="104.44"/>
    <x v="1"/>
    <s v="USD"/>
    <n v="1529643600"/>
    <x v="408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09999999999995"/>
    <x v="0"/>
    <n v="91"/>
    <n v="69.989999999999995"/>
    <x v="1"/>
    <s v="USD"/>
    <n v="1399006800"/>
    <x v="409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59999999999997"/>
    <x v="0"/>
    <n v="792"/>
    <n v="83.02"/>
    <x v="1"/>
    <s v="USD"/>
    <n v="1385359200"/>
    <x v="41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19999999999999"/>
    <x v="3"/>
    <n v="10"/>
    <n v="90.3"/>
    <x v="0"/>
    <s v="CAD"/>
    <n v="1480572000"/>
    <x v="411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8000000000001"/>
    <x v="1"/>
    <n v="1713"/>
    <n v="103.98"/>
    <x v="6"/>
    <s v="EUR"/>
    <n v="1418623200"/>
    <x v="412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"/>
    <x v="1"/>
    <n v="249"/>
    <n v="54.93"/>
    <x v="1"/>
    <s v="USD"/>
    <n v="1555736400"/>
    <x v="413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n v="1.2306999999999999"/>
    <x v="1"/>
    <n v="192"/>
    <n v="51.92"/>
    <x v="1"/>
    <s v="USD"/>
    <n v="1442120400"/>
    <x v="414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4"/>
    <x v="1"/>
    <n v="247"/>
    <n v="60.03"/>
    <x v="1"/>
    <s v="USD"/>
    <n v="1362376800"/>
    <x v="415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"/>
    <x v="1"/>
    <n v="2293"/>
    <n v="44"/>
    <x v="1"/>
    <s v="USD"/>
    <n v="1478408400"/>
    <x v="416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1"/>
    <x v="1"/>
    <n v="3131"/>
    <n v="53"/>
    <x v="1"/>
    <s v="USD"/>
    <n v="1498798800"/>
    <x v="417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09999999999999"/>
    <x v="0"/>
    <n v="32"/>
    <n v="54.5"/>
    <x v="1"/>
    <s v="USD"/>
    <n v="1335416400"/>
    <x v="418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000000000001"/>
    <x v="1"/>
    <n v="143"/>
    <n v="75.040000000000006"/>
    <x v="6"/>
    <s v="EUR"/>
    <n v="1504328400"/>
    <x v="419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49999999999998"/>
    <x v="3"/>
    <n v="90"/>
    <n v="35.909999999999997"/>
    <x v="1"/>
    <s v="USD"/>
    <n v="1285822800"/>
    <x v="42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n v="1.7642"/>
    <x v="1"/>
    <n v="296"/>
    <n v="36.950000000000003"/>
    <x v="1"/>
    <s v="USD"/>
    <n v="1311483600"/>
    <x v="421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00000000003"/>
    <x v="1"/>
    <n v="170"/>
    <n v="63.17"/>
    <x v="1"/>
    <s v="USD"/>
    <n v="1291356000"/>
    <x v="422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0000000000002"/>
    <x v="0"/>
    <n v="186"/>
    <n v="29.99"/>
    <x v="1"/>
    <s v="USD"/>
    <n v="1355810400"/>
    <x v="423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9999999999999"/>
    <x v="3"/>
    <n v="439"/>
    <n v="86"/>
    <x v="4"/>
    <s v="GBP"/>
    <n v="1513663200"/>
    <x v="424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0000000000003"/>
    <x v="0"/>
    <n v="605"/>
    <n v="75.010000000000005"/>
    <x v="1"/>
    <s v="USD"/>
    <n v="1365915600"/>
    <x v="425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2"/>
    <x v="3"/>
    <s v="DKK"/>
    <n v="1551852000"/>
    <x v="426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n v="1540098000"/>
    <x v="427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999999999999"/>
    <x v="1"/>
    <n v="6286"/>
    <n v="29"/>
    <x v="1"/>
    <s v="USD"/>
    <n v="1500440400"/>
    <x v="428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9999999999996"/>
    <x v="0"/>
    <n v="31"/>
    <n v="98.23"/>
    <x v="1"/>
    <s v="USD"/>
    <n v="1278392400"/>
    <x v="429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0000000000002"/>
    <x v="0"/>
    <n v="1181"/>
    <n v="87"/>
    <x v="1"/>
    <s v="USD"/>
    <n v="1480572000"/>
    <x v="411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80000000000003"/>
    <x v="0"/>
    <n v="39"/>
    <n v="45.21"/>
    <x v="1"/>
    <s v="USD"/>
    <n v="1382331600"/>
    <x v="43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"/>
    <x v="1"/>
    <n v="3727"/>
    <n v="37"/>
    <x v="1"/>
    <s v="USD"/>
    <n v="1316754000"/>
    <x v="431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1999999999999"/>
    <x v="1"/>
    <n v="1605"/>
    <n v="94.98"/>
    <x v="1"/>
    <s v="USD"/>
    <n v="1518242400"/>
    <x v="432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6"/>
    <x v="1"/>
    <s v="USD"/>
    <n v="1476421200"/>
    <x v="433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"/>
    <x v="1"/>
    <n v="2120"/>
    <n v="55.99"/>
    <x v="1"/>
    <s v="USD"/>
    <n v="1269752400"/>
    <x v="434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59999999999996"/>
    <x v="0"/>
    <n v="105"/>
    <n v="54.04"/>
    <x v="1"/>
    <s v="USD"/>
    <n v="1419746400"/>
    <x v="435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999999999999"/>
    <x v="1"/>
    <n v="50"/>
    <n v="82.38"/>
    <x v="1"/>
    <s v="USD"/>
    <n v="1281330000"/>
    <x v="8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n v="1.4105000000000001"/>
    <x v="1"/>
    <n v="2080"/>
    <n v="67"/>
    <x v="1"/>
    <s v="USD"/>
    <n v="1398661200"/>
    <x v="436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80000000000002"/>
    <x v="0"/>
    <n v="535"/>
    <n v="107.91"/>
    <x v="1"/>
    <s v="USD"/>
    <n v="1359525600"/>
    <x v="385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5999999999999"/>
    <x v="1"/>
    <n v="2105"/>
    <n v="69.010000000000005"/>
    <x v="1"/>
    <s v="USD"/>
    <n v="1388469600"/>
    <x v="437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6"/>
    <x v="1"/>
    <n v="2436"/>
    <n v="39.01"/>
    <x v="1"/>
    <s v="USD"/>
    <n v="1518328800"/>
    <x v="438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n v="1.8785000000000001"/>
    <x v="1"/>
    <n v="80"/>
    <n v="110.36"/>
    <x v="1"/>
    <s v="USD"/>
    <n v="1517032800"/>
    <x v="439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6"/>
    <x v="1"/>
    <s v="USD"/>
    <n v="1368594000"/>
    <x v="44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000000000004"/>
    <x v="1"/>
    <n v="139"/>
    <n v="57.94"/>
    <x v="0"/>
    <s v="CAD"/>
    <n v="1448258400"/>
    <x v="441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x v="442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n v="1.8443000000000001"/>
    <x v="1"/>
    <n v="159"/>
    <n v="64.959999999999994"/>
    <x v="1"/>
    <s v="USD"/>
    <n v="1431925200"/>
    <x v="443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999999999999"/>
    <x v="1"/>
    <n v="381"/>
    <n v="27.01"/>
    <x v="1"/>
    <s v="USD"/>
    <n v="1481522400"/>
    <x v="315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"/>
    <x v="4"/>
    <s v="GBP"/>
    <n v="1335934800"/>
    <x v="444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29999999999998"/>
    <x v="0"/>
    <n v="575"/>
    <n v="104.94"/>
    <x v="1"/>
    <s v="USD"/>
    <n v="1552280400"/>
    <x v="445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3"/>
    <x v="1"/>
    <s v="USD"/>
    <n v="1529989200"/>
    <x v="446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6"/>
    <x v="1"/>
    <s v="USD"/>
    <n v="1418709600"/>
    <x v="447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5"/>
    <x v="1"/>
    <n v="211"/>
    <n v="39.96"/>
    <x v="1"/>
    <s v="USD"/>
    <n v="1372136400"/>
    <x v="448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30000000000001"/>
    <x v="0"/>
    <n v="1120"/>
    <n v="51"/>
    <x v="1"/>
    <s v="USD"/>
    <n v="1533877200"/>
    <x v="342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69999999999996"/>
    <x v="0"/>
    <n v="113"/>
    <n v="40.82"/>
    <x v="1"/>
    <s v="USD"/>
    <n v="1309064400"/>
    <x v="449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3999999999999"/>
    <x v="1"/>
    <n v="2756"/>
    <n v="59"/>
    <x v="1"/>
    <s v="USD"/>
    <n v="1425877200"/>
    <x v="45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2"/>
    <x v="1"/>
    <n v="173"/>
    <n v="71.16"/>
    <x v="4"/>
    <s v="GBP"/>
    <n v="1501304400"/>
    <x v="451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n v="1.0065"/>
    <x v="1"/>
    <n v="87"/>
    <n v="99.49"/>
    <x v="1"/>
    <s v="USD"/>
    <n v="1268287200"/>
    <x v="452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5"/>
    <x v="0"/>
    <n v="1538"/>
    <n v="103.99"/>
    <x v="1"/>
    <s v="USD"/>
    <n v="1412139600"/>
    <x v="453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0000000000001"/>
    <x v="0"/>
    <n v="9"/>
    <n v="76.56"/>
    <x v="1"/>
    <s v="USD"/>
    <n v="1330063200"/>
    <x v="454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69999999999995"/>
    <x v="0"/>
    <n v="554"/>
    <n v="87.07"/>
    <x v="1"/>
    <s v="USD"/>
    <n v="1576130400"/>
    <x v="455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n v="2.6021000000000001"/>
    <x v="1"/>
    <n v="1572"/>
    <n v="49"/>
    <x v="4"/>
    <s v="GBP"/>
    <n v="1407128400"/>
    <x v="456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0000000000002"/>
    <x v="0"/>
    <n v="648"/>
    <n v="42.97"/>
    <x v="4"/>
    <s v="GBP"/>
    <n v="1560142800"/>
    <x v="457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3"/>
    <x v="4"/>
    <s v="GBP"/>
    <n v="1520575200"/>
    <x v="458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3"/>
    <x v="1"/>
    <n v="2346"/>
    <n v="83.98"/>
    <x v="1"/>
    <s v="USD"/>
    <n v="1492664400"/>
    <x v="459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6000000000001"/>
    <x v="1"/>
    <n v="115"/>
    <n v="101.42"/>
    <x v="1"/>
    <s v="USD"/>
    <n v="1454479200"/>
    <x v="46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n v="1.0150999999999999"/>
    <x v="1"/>
    <n v="85"/>
    <n v="109.87"/>
    <x v="6"/>
    <s v="EUR"/>
    <n v="1281934800"/>
    <x v="461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2"/>
    <x v="1"/>
    <s v="USD"/>
    <n v="1573970400"/>
    <x v="462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5000000000001"/>
    <x v="1"/>
    <n v="2443"/>
    <n v="70.989999999999995"/>
    <x v="1"/>
    <s v="USD"/>
    <n v="1372654800"/>
    <x v="463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n v="0.24"/>
    <x v="3"/>
    <n v="595"/>
    <n v="77.03"/>
    <x v="1"/>
    <s v="USD"/>
    <n v="1275886800"/>
    <x v="464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8"/>
    <x v="1"/>
    <n v="64"/>
    <n v="101.78"/>
    <x v="1"/>
    <s v="USD"/>
    <n v="1561784400"/>
    <x v="465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6"/>
    <x v="1"/>
    <s v="USD"/>
    <n v="1332392400"/>
    <x v="466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"/>
    <x v="3"/>
    <s v="DKK"/>
    <n v="1402376400"/>
    <x v="467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n v="9.1000000000000004E-3"/>
    <x v="0"/>
    <n v="54"/>
    <n v="30.87"/>
    <x v="1"/>
    <s v="USD"/>
    <n v="1495342800"/>
    <x v="468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"/>
    <x v="0"/>
    <n v="120"/>
    <n v="27.91"/>
    <x v="1"/>
    <s v="USD"/>
    <n v="1482213600"/>
    <x v="469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9999999999999"/>
    <x v="0"/>
    <n v="579"/>
    <n v="79.989999999999995"/>
    <x v="3"/>
    <s v="DKK"/>
    <n v="1420092000"/>
    <x v="47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0000000000002"/>
    <x v="0"/>
    <n v="2072"/>
    <n v="38"/>
    <x v="1"/>
    <s v="USD"/>
    <n v="1458018000"/>
    <x v="471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s v="0"/>
    <x v="1"/>
    <s v="USD"/>
    <n v="1367384400"/>
    <x v="472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n v="0.70150000000000001"/>
    <x v="0"/>
    <n v="1796"/>
    <n v="59.99"/>
    <x v="1"/>
    <s v="USD"/>
    <n v="1363064400"/>
    <x v="473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1999999999999"/>
    <x v="1"/>
    <n v="186"/>
    <n v="37.04"/>
    <x v="2"/>
    <s v="AUD"/>
    <n v="1343365200"/>
    <x v="474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999999999999"/>
    <x v="1"/>
    <n v="460"/>
    <n v="99.96"/>
    <x v="1"/>
    <s v="USD"/>
    <n v="1435726800"/>
    <x v="72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8"/>
    <x v="6"/>
    <s v="EUR"/>
    <n v="1431925200"/>
    <x v="443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n v="0.13900000000000001"/>
    <x v="0"/>
    <n v="347"/>
    <n v="36.01"/>
    <x v="1"/>
    <s v="USD"/>
    <n v="1362722400"/>
    <x v="475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999999999995"/>
    <x v="1"/>
    <n v="2528"/>
    <n v="66.010000000000005"/>
    <x v="1"/>
    <s v="USD"/>
    <n v="1511416800"/>
    <x v="81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60000000000001"/>
    <x v="0"/>
    <n v="19"/>
    <n v="44.05"/>
    <x v="1"/>
    <s v="USD"/>
    <n v="1365483600"/>
    <x v="476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3000000000001"/>
    <x v="1"/>
    <n v="3657"/>
    <n v="53"/>
    <x v="1"/>
    <s v="USD"/>
    <n v="1532840400"/>
    <x v="192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n v="0.70930000000000004"/>
    <x v="0"/>
    <n v="1258"/>
    <n v="95"/>
    <x v="1"/>
    <s v="USD"/>
    <n v="1336194000"/>
    <x v="477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9000000000001"/>
    <x v="1"/>
    <n v="131"/>
    <n v="70.91"/>
    <x v="2"/>
    <s v="AUD"/>
    <n v="1527742800"/>
    <x v="478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2"/>
    <x v="0"/>
    <n v="362"/>
    <n v="98.06"/>
    <x v="1"/>
    <s v="USD"/>
    <n v="1564030800"/>
    <x v="479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n v="1.3932"/>
    <x v="1"/>
    <n v="239"/>
    <n v="53.05"/>
    <x v="1"/>
    <s v="USD"/>
    <n v="1404536400"/>
    <x v="48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9999999999998"/>
    <x v="3"/>
    <n v="35"/>
    <n v="93.14"/>
    <x v="1"/>
    <s v="USD"/>
    <n v="1284008400"/>
    <x v="18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999999999999"/>
    <x v="3"/>
    <n v="528"/>
    <n v="58.95"/>
    <x v="5"/>
    <s v="CHF"/>
    <n v="1386309600"/>
    <x v="481"/>
    <n v="1386741600"/>
    <d v="2013-12-11T06:00:00"/>
    <b v="0"/>
    <b v="1"/>
    <s v="music/rock"/>
    <x v="1"/>
    <x v="1"/>
  </r>
  <r>
    <n v="515"/>
    <s v="Cox LLC"/>
    <s v="Phased 24hour flexibility"/>
    <n v="8600"/>
    <n v="4797"/>
    <n v="0.55779999999999996"/>
    <x v="0"/>
    <n v="133"/>
    <n v="36.07"/>
    <x v="0"/>
    <s v="CAD"/>
    <n v="1324620000"/>
    <x v="482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0000000000002"/>
    <x v="0"/>
    <n v="846"/>
    <n v="63.03"/>
    <x v="1"/>
    <s v="USD"/>
    <n v="1281070800"/>
    <x v="194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2"/>
    <x v="1"/>
    <s v="USD"/>
    <n v="1493960400"/>
    <x v="483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99999999999999E-2"/>
    <x v="0"/>
    <n v="10"/>
    <n v="62.2"/>
    <x v="1"/>
    <s v="USD"/>
    <n v="1519365600"/>
    <x v="484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5000000000001"/>
    <x v="1"/>
    <n v="1773"/>
    <n v="101.98"/>
    <x v="1"/>
    <s v="USD"/>
    <n v="1420696800"/>
    <x v="355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4"/>
    <x v="1"/>
    <s v="USD"/>
    <n v="1555650000"/>
    <x v="485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n v="1.4554"/>
    <x v="1"/>
    <n v="369"/>
    <n v="29.98"/>
    <x v="1"/>
    <s v="USD"/>
    <n v="1471928400"/>
    <x v="486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0000000000001"/>
    <x v="0"/>
    <n v="191"/>
    <n v="85.81"/>
    <x v="1"/>
    <s v="USD"/>
    <n v="1341291600"/>
    <x v="487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000000000003"/>
    <x v="1"/>
    <n v="89"/>
    <n v="70.819999999999993"/>
    <x v="1"/>
    <s v="USD"/>
    <n v="1267682400"/>
    <x v="488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899999999999997"/>
    <x v="0"/>
    <n v="1979"/>
    <n v="41"/>
    <x v="1"/>
    <s v="USD"/>
    <n v="1272258000"/>
    <x v="489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89999999999998"/>
    <x v="0"/>
    <n v="63"/>
    <n v="28.06"/>
    <x v="1"/>
    <s v="USD"/>
    <n v="1290492000"/>
    <x v="49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000000000001"/>
    <x v="1"/>
    <n v="147"/>
    <n v="88.05"/>
    <x v="1"/>
    <s v="USD"/>
    <n v="1451109600"/>
    <x v="312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999999999997"/>
    <x v="0"/>
    <n v="6080"/>
    <n v="31"/>
    <x v="0"/>
    <s v="CAD"/>
    <n v="1454652000"/>
    <x v="491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4"/>
    <x v="4"/>
    <s v="GBP"/>
    <n v="1385186400"/>
    <x v="492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n v="0.1125"/>
    <x v="0"/>
    <n v="9"/>
    <n v="63.78"/>
    <x v="1"/>
    <s v="USD"/>
    <n v="1399698000"/>
    <x v="493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39999999999999"/>
    <x v="0"/>
    <n v="1784"/>
    <n v="54"/>
    <x v="1"/>
    <s v="USD"/>
    <n v="1283230800"/>
    <x v="494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0000000000005"/>
    <x v="2"/>
    <n v="3640"/>
    <n v="48.99"/>
    <x v="5"/>
    <s v="CHF"/>
    <n v="1384149600"/>
    <x v="495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8000000000004"/>
    <x v="1"/>
    <n v="126"/>
    <n v="63.86"/>
    <x v="0"/>
    <s v="CAD"/>
    <n v="1516860000"/>
    <x v="496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"/>
    <x v="1"/>
    <n v="2218"/>
    <n v="83"/>
    <x v="4"/>
    <s v="GBP"/>
    <n v="1374642000"/>
    <x v="497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"/>
    <x v="0"/>
    <n v="243"/>
    <n v="55.08"/>
    <x v="1"/>
    <s v="USD"/>
    <n v="1534482000"/>
    <x v="498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4000000000002"/>
    <x v="1"/>
    <n v="202"/>
    <n v="62.04"/>
    <x v="6"/>
    <s v="EUR"/>
    <n v="1528434000"/>
    <x v="499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n v="1.4997"/>
    <x v="1"/>
    <n v="140"/>
    <n v="104.98"/>
    <x v="6"/>
    <s v="EUR"/>
    <n v="1282626000"/>
    <x v="5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1999999999999"/>
    <x v="1"/>
    <n v="1052"/>
    <n v="94.04"/>
    <x v="3"/>
    <s v="DKK"/>
    <n v="1535605200"/>
    <x v="501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7"/>
    <x v="0"/>
    <n v="1296"/>
    <n v="44.01"/>
    <x v="1"/>
    <s v="USD"/>
    <n v="1379826000"/>
    <x v="502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0000000000003"/>
    <x v="0"/>
    <n v="77"/>
    <n v="92.47"/>
    <x v="1"/>
    <s v="USD"/>
    <n v="1561957200"/>
    <x v="503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000000000002"/>
    <x v="1"/>
    <n v="247"/>
    <n v="57.07"/>
    <x v="1"/>
    <s v="USD"/>
    <n v="1525496400"/>
    <x v="504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10000000000001"/>
    <x v="0"/>
    <n v="395"/>
    <n v="109.08"/>
    <x v="6"/>
    <s v="EUR"/>
    <n v="1433912400"/>
    <x v="505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100000000000001E-2"/>
    <x v="0"/>
    <n v="49"/>
    <n v="39.39"/>
    <x v="4"/>
    <s v="GBP"/>
    <n v="1453442400"/>
    <x v="506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3"/>
    <x v="0"/>
    <n v="180"/>
    <n v="77.02"/>
    <x v="1"/>
    <s v="USD"/>
    <n v="1378875600"/>
    <x v="507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7"/>
    <x v="1"/>
    <s v="USD"/>
    <n v="1452232800"/>
    <x v="508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n v="0.88800000000000001"/>
    <x v="0"/>
    <n v="2690"/>
    <n v="61.01"/>
    <x v="1"/>
    <s v="USD"/>
    <n v="1577253600"/>
    <x v="509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6999999999999"/>
    <x v="1"/>
    <n v="88"/>
    <n v="78.069999999999993"/>
    <x v="1"/>
    <s v="USD"/>
    <n v="1537160400"/>
    <x v="51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n v="1422165600"/>
    <x v="511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0999999999998"/>
    <x v="1"/>
    <n v="2985"/>
    <n v="59.99"/>
    <x v="1"/>
    <s v="USD"/>
    <n v="1459486800"/>
    <x v="512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0999999999998"/>
    <x v="1"/>
    <n v="762"/>
    <n v="110.03"/>
    <x v="1"/>
    <s v="USD"/>
    <n v="1369717200"/>
    <x v="513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n v="1330495200"/>
    <x v="514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0000000000004"/>
    <x v="0"/>
    <n v="2779"/>
    <n v="38"/>
    <x v="2"/>
    <s v="AUD"/>
    <n v="1419055200"/>
    <x v="515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09999999999998"/>
    <x v="0"/>
    <n v="92"/>
    <n v="96.37"/>
    <x v="1"/>
    <s v="USD"/>
    <n v="1480140000"/>
    <x v="516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80000000000002"/>
    <x v="0"/>
    <n v="1028"/>
    <n v="72.98"/>
    <x v="1"/>
    <s v="USD"/>
    <n v="1293948000"/>
    <x v="517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5999999999999"/>
    <x v="1"/>
    <n v="554"/>
    <n v="26.01"/>
    <x v="0"/>
    <s v="CAD"/>
    <n v="1482127200"/>
    <x v="518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n v="2.2363"/>
    <x v="1"/>
    <n v="135"/>
    <n v="104.36"/>
    <x v="3"/>
    <s v="DKK"/>
    <n v="1396414800"/>
    <x v="519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9"/>
    <x v="1"/>
    <s v="USD"/>
    <n v="1315285200"/>
    <x v="52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000000000001"/>
    <x v="1"/>
    <n v="221"/>
    <n v="54.12"/>
    <x v="1"/>
    <s v="USD"/>
    <n v="1443762000"/>
    <x v="521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"/>
    <x v="1"/>
    <n v="126"/>
    <n v="63.22"/>
    <x v="1"/>
    <s v="USD"/>
    <n v="1456293600"/>
    <x v="522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7"/>
    <x v="1"/>
    <n v="1022"/>
    <n v="104.03"/>
    <x v="1"/>
    <s v="USD"/>
    <n v="1470114000"/>
    <x v="523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"/>
    <x v="1"/>
    <s v="USD"/>
    <n v="1321596000"/>
    <x v="524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2"/>
    <x v="5"/>
    <s v="CHF"/>
    <n v="1318827600"/>
    <x v="525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20000000000001"/>
    <x v="0"/>
    <n v="26"/>
    <n v="48.81"/>
    <x v="5"/>
    <s v="CHF"/>
    <n v="1552366800"/>
    <x v="188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3000000000001"/>
    <x v="1"/>
    <n v="85"/>
    <n v="60.08"/>
    <x v="2"/>
    <s v="AUD"/>
    <n v="1542088800"/>
    <x v="526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09999999999996"/>
    <x v="0"/>
    <n v="1790"/>
    <n v="78.989999999999995"/>
    <x v="1"/>
    <s v="USD"/>
    <n v="1426395600"/>
    <x v="527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59999999999998"/>
    <x v="1"/>
    <n v="3596"/>
    <n v="53.99"/>
    <x v="1"/>
    <s v="USD"/>
    <n v="1321336800"/>
    <x v="528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n v="0.44340000000000002"/>
    <x v="0"/>
    <n v="37"/>
    <n v="111.46"/>
    <x v="1"/>
    <s v="USD"/>
    <n v="1456293600"/>
    <x v="522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59999999999999"/>
    <x v="1"/>
    <n v="244"/>
    <n v="60.92"/>
    <x v="1"/>
    <s v="USD"/>
    <n v="1404968400"/>
    <x v="529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000000000001"/>
    <x v="1"/>
    <n v="5180"/>
    <n v="26"/>
    <x v="1"/>
    <s v="USD"/>
    <n v="1279170000"/>
    <x v="53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4000000000002"/>
    <x v="1"/>
    <n v="589"/>
    <n v="80.989999999999995"/>
    <x v="6"/>
    <s v="EUR"/>
    <n v="1294725600"/>
    <x v="531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000000000002"/>
    <x v="1"/>
    <n v="2725"/>
    <n v="35"/>
    <x v="1"/>
    <s v="USD"/>
    <n v="1419055200"/>
    <x v="515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n v="0.94140000000000001"/>
    <x v="0"/>
    <n v="35"/>
    <n v="94.14"/>
    <x v="6"/>
    <s v="EUR"/>
    <n v="1434690000"/>
    <x v="532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9"/>
    <x v="1"/>
    <s v="USD"/>
    <n v="1443416400"/>
    <x v="533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n v="1.1188"/>
    <x v="1"/>
    <n v="300"/>
    <n v="24.99"/>
    <x v="1"/>
    <s v="USD"/>
    <n v="1399006800"/>
    <x v="409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5"/>
    <x v="1"/>
    <n v="144"/>
    <n v="69.22"/>
    <x v="1"/>
    <s v="USD"/>
    <n v="1575698400"/>
    <x v="534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n v="0.62929999999999997"/>
    <x v="0"/>
    <n v="558"/>
    <n v="93.94"/>
    <x v="1"/>
    <s v="USD"/>
    <n v="1400562000"/>
    <x v="53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9999999999999"/>
    <x v="0"/>
    <n v="64"/>
    <n v="98.41"/>
    <x v="1"/>
    <s v="USD"/>
    <n v="1509512400"/>
    <x v="535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n v="0.1885"/>
    <x v="3"/>
    <n v="37"/>
    <n v="41.78"/>
    <x v="1"/>
    <s v="USD"/>
    <n v="1299823200"/>
    <x v="536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n v="0.16750000000000001"/>
    <x v="0"/>
    <n v="245"/>
    <n v="65.989999999999995"/>
    <x v="1"/>
    <s v="USD"/>
    <n v="1322719200"/>
    <x v="537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000000000001"/>
    <x v="1"/>
    <n v="87"/>
    <n v="72.06"/>
    <x v="1"/>
    <s v="USD"/>
    <n v="1312693200"/>
    <x v="538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n v="3.415"/>
    <x v="1"/>
    <n v="3116"/>
    <n v="48"/>
    <x v="1"/>
    <s v="USD"/>
    <n v="1393394400"/>
    <x v="539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9999999999999"/>
    <x v="0"/>
    <n v="71"/>
    <n v="54.1"/>
    <x v="1"/>
    <s v="USD"/>
    <n v="1304053200"/>
    <x v="54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n v="0.52080000000000004"/>
    <x v="0"/>
    <n v="42"/>
    <n v="107.88"/>
    <x v="1"/>
    <s v="USD"/>
    <n v="1433912400"/>
    <x v="505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000000000002"/>
    <x v="1"/>
    <n v="909"/>
    <n v="67.03"/>
    <x v="1"/>
    <s v="USD"/>
    <n v="1329717600"/>
    <x v="541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1000000000001"/>
    <x v="1"/>
    <n v="1613"/>
    <n v="64.010000000000005"/>
    <x v="1"/>
    <s v="USD"/>
    <n v="1335330000"/>
    <x v="542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n v="1.468"/>
    <x v="1"/>
    <n v="136"/>
    <n v="96.07"/>
    <x v="1"/>
    <s v="USD"/>
    <n v="1268888400"/>
    <x v="543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6999999999992"/>
    <x v="1"/>
    <n v="130"/>
    <n v="51.18"/>
    <x v="1"/>
    <s v="USD"/>
    <n v="1289973600"/>
    <x v="544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n v="0.72889999999999999"/>
    <x v="0"/>
    <n v="156"/>
    <n v="43.92"/>
    <x v="0"/>
    <s v="CAD"/>
    <n v="1547877600"/>
    <x v="35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n v="0.79010000000000002"/>
    <x v="0"/>
    <n v="1368"/>
    <n v="91.02"/>
    <x v="4"/>
    <s v="GBP"/>
    <n v="1269493200"/>
    <x v="152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"/>
    <x v="0"/>
    <n v="102"/>
    <n v="50.13"/>
    <x v="1"/>
    <s v="USD"/>
    <n v="1436072400"/>
    <x v="545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30000000000003"/>
    <x v="0"/>
    <n v="86"/>
    <n v="67.72"/>
    <x v="2"/>
    <s v="AUD"/>
    <n v="1419141600"/>
    <x v="546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7"/>
    <x v="1"/>
    <n v="102"/>
    <n v="61.04"/>
    <x v="1"/>
    <s v="USD"/>
    <n v="1279083600"/>
    <x v="547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09999999999999"/>
    <x v="0"/>
    <n v="253"/>
    <n v="80.010000000000005"/>
    <x v="1"/>
    <s v="USD"/>
    <n v="1401426000"/>
    <x v="548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"/>
    <x v="1"/>
    <n v="4006"/>
    <n v="47"/>
    <x v="1"/>
    <s v="USD"/>
    <n v="1395810000"/>
    <x v="549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9999999999994E-2"/>
    <x v="0"/>
    <n v="157"/>
    <n v="71.13"/>
    <x v="1"/>
    <s v="USD"/>
    <n v="1467003600"/>
    <x v="55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3000000000002"/>
    <x v="1"/>
    <n v="1629"/>
    <n v="89.99"/>
    <x v="1"/>
    <s v="USD"/>
    <n v="1268715600"/>
    <x v="551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n v="0.99680000000000002"/>
    <x v="0"/>
    <n v="183"/>
    <n v="43.03"/>
    <x v="1"/>
    <s v="USD"/>
    <n v="1457157600"/>
    <x v="552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6"/>
    <x v="1"/>
    <n v="2188"/>
    <n v="68"/>
    <x v="1"/>
    <s v="USD"/>
    <n v="1573970400"/>
    <x v="462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"/>
    <x v="1"/>
    <n v="2409"/>
    <n v="73"/>
    <x v="6"/>
    <s v="EUR"/>
    <n v="1276578000"/>
    <x v="553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00000000000002E-2"/>
    <x v="0"/>
    <n v="82"/>
    <n v="62.34"/>
    <x v="3"/>
    <s v="DKK"/>
    <n v="1423720800"/>
    <x v="554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n v="1375160400"/>
    <x v="555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n v="2.0663"/>
    <x v="1"/>
    <n v="194"/>
    <n v="67.099999999999994"/>
    <x v="1"/>
    <s v="USD"/>
    <n v="1401426000"/>
    <x v="548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4"/>
    <x v="1"/>
    <n v="1140"/>
    <n v="79.98"/>
    <x v="1"/>
    <s v="USD"/>
    <n v="1433480400"/>
    <x v="62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00000000001"/>
    <x v="1"/>
    <n v="102"/>
    <n v="62.18"/>
    <x v="1"/>
    <s v="USD"/>
    <n v="1555563600"/>
    <x v="556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"/>
    <x v="1"/>
    <n v="2857"/>
    <n v="53.01"/>
    <x v="1"/>
    <s v="USD"/>
    <n v="1295676000"/>
    <x v="557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000000000001"/>
    <x v="1"/>
    <n v="107"/>
    <n v="57.74"/>
    <x v="1"/>
    <s v="USD"/>
    <n v="1443848400"/>
    <x v="27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7999999999999"/>
    <x v="1"/>
    <n v="160"/>
    <n v="40.03"/>
    <x v="4"/>
    <s v="GBP"/>
    <n v="1457330400"/>
    <x v="558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999999999999"/>
    <x v="1"/>
    <n v="2230"/>
    <n v="81.02"/>
    <x v="1"/>
    <s v="USD"/>
    <n v="1395550800"/>
    <x v="559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000000000001"/>
    <x v="1"/>
    <n v="316"/>
    <n v="35.049999999999997"/>
    <x v="1"/>
    <s v="USD"/>
    <n v="1551852000"/>
    <x v="426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"/>
    <x v="1"/>
    <s v="USD"/>
    <n v="1547618400"/>
    <x v="56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999999999999"/>
    <x v="1"/>
    <n v="6406"/>
    <n v="28"/>
    <x v="1"/>
    <s v="USD"/>
    <n v="1355637600"/>
    <x v="561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0000000000001"/>
    <x v="3"/>
    <n v="15"/>
    <n v="75.73"/>
    <x v="1"/>
    <s v="USD"/>
    <n v="1374728400"/>
    <x v="562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n v="1.3944000000000001"/>
    <x v="1"/>
    <n v="192"/>
    <n v="45.03"/>
    <x v="1"/>
    <s v="USD"/>
    <n v="1287810000"/>
    <x v="563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2"/>
    <x v="0"/>
    <s v="CAD"/>
    <n v="1503723600"/>
    <x v="564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8999999999999"/>
    <x v="1"/>
    <n v="723"/>
    <n v="56.99"/>
    <x v="1"/>
    <s v="USD"/>
    <n v="1484114400"/>
    <x v="565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999999999999"/>
    <x v="1"/>
    <n v="170"/>
    <n v="85.22"/>
    <x v="6"/>
    <s v="EUR"/>
    <n v="1461906000"/>
    <x v="566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2"/>
    <x v="1"/>
    <n v="238"/>
    <n v="50.96"/>
    <x v="4"/>
    <s v="GBP"/>
    <n v="1379653200"/>
    <x v="567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n v="2.4971000000000001"/>
    <x v="1"/>
    <n v="55"/>
    <n v="63.56"/>
    <x v="1"/>
    <s v="USD"/>
    <n v="1401858000"/>
    <x v="568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n v="0.48859999999999998"/>
    <x v="0"/>
    <n v="1198"/>
    <n v="81"/>
    <x v="1"/>
    <s v="USD"/>
    <n v="1367470800"/>
    <x v="569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0000000000002"/>
    <x v="0"/>
    <n v="648"/>
    <n v="86.04"/>
    <x v="1"/>
    <s v="USD"/>
    <n v="1304658000"/>
    <x v="57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000000000001"/>
    <x v="1"/>
    <n v="128"/>
    <n v="90.04"/>
    <x v="2"/>
    <s v="AUD"/>
    <n v="1467954000"/>
    <x v="571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00000000004"/>
    <x v="1"/>
    <n v="2144"/>
    <n v="74.010000000000005"/>
    <x v="1"/>
    <s v="USD"/>
    <n v="1473742800"/>
    <x v="572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n v="3.1300000000000001E-2"/>
    <x v="0"/>
    <n v="64"/>
    <n v="92.44"/>
    <x v="1"/>
    <s v="USD"/>
    <n v="1523768400"/>
    <x v="573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"/>
    <x v="1"/>
    <n v="2693"/>
    <n v="56"/>
    <x v="4"/>
    <s v="GBP"/>
    <n v="1437022800"/>
    <x v="574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8999999999998"/>
    <x v="1"/>
    <n v="432"/>
    <n v="32.979999999999997"/>
    <x v="1"/>
    <s v="USD"/>
    <n v="1422165600"/>
    <x v="511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0000000000005"/>
    <x v="0"/>
    <n v="62"/>
    <n v="93.6"/>
    <x v="1"/>
    <s v="USD"/>
    <n v="1580104800"/>
    <x v="575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999999999999"/>
    <x v="1"/>
    <n v="189"/>
    <n v="69.87"/>
    <x v="1"/>
    <s v="USD"/>
    <n v="1285650000"/>
    <x v="576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3"/>
    <x v="4"/>
    <s v="GBP"/>
    <n v="1276664400"/>
    <x v="577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9"/>
    <x v="1"/>
    <n v="96"/>
    <n v="30.04"/>
    <x v="1"/>
    <s v="USD"/>
    <n v="1286168400"/>
    <x v="578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0000000000004"/>
    <x v="0"/>
    <n v="750"/>
    <n v="73.97"/>
    <x v="1"/>
    <s v="USD"/>
    <n v="1467781200"/>
    <x v="579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0000000000004"/>
    <x v="3"/>
    <n v="87"/>
    <n v="68.66"/>
    <x v="1"/>
    <s v="USD"/>
    <n v="1556686800"/>
    <x v="58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40000000000001"/>
    <x v="1"/>
    <n v="3063"/>
    <n v="59.99"/>
    <x v="1"/>
    <s v="USD"/>
    <n v="1553576400"/>
    <x v="581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n v="0.42859999999999998"/>
    <x v="2"/>
    <n v="278"/>
    <n v="111.16"/>
    <x v="1"/>
    <s v="USD"/>
    <n v="1414904400"/>
    <x v="582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20000000000005"/>
    <x v="0"/>
    <n v="105"/>
    <n v="53.04"/>
    <x v="1"/>
    <s v="USD"/>
    <n v="1446876000"/>
    <x v="336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"/>
    <x v="3"/>
    <n v="1658"/>
    <n v="55.99"/>
    <x v="1"/>
    <s v="USD"/>
    <n v="1490418000"/>
    <x v="583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"/>
    <x v="1"/>
    <n v="2266"/>
    <n v="69.989999999999995"/>
    <x v="1"/>
    <s v="USD"/>
    <n v="1360389600"/>
    <x v="584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9999999999997"/>
    <x v="0"/>
    <n v="2604"/>
    <n v="49"/>
    <x v="3"/>
    <s v="DKK"/>
    <n v="1326866400"/>
    <x v="585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0000000000003"/>
    <x v="0"/>
    <n v="65"/>
    <n v="103.85"/>
    <x v="1"/>
    <s v="USD"/>
    <n v="1479103200"/>
    <x v="586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n v="0.1142"/>
    <x v="0"/>
    <n v="94"/>
    <n v="99.13"/>
    <x v="1"/>
    <s v="USD"/>
    <n v="1280206800"/>
    <x v="587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n v="0.56189999999999996"/>
    <x v="2"/>
    <n v="45"/>
    <n v="107.38"/>
    <x v="1"/>
    <s v="USD"/>
    <n v="1532754000"/>
    <x v="588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0000000000001"/>
    <x v="0"/>
    <n v="257"/>
    <n v="76.92"/>
    <x v="1"/>
    <s v="USD"/>
    <n v="1453096800"/>
    <x v="589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7"/>
    <x v="1"/>
    <n v="194"/>
    <n v="58.13"/>
    <x v="5"/>
    <s v="CHF"/>
    <n v="1487570400"/>
    <x v="59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999999999999"/>
    <x v="1"/>
    <n v="129"/>
    <n v="103.74"/>
    <x v="0"/>
    <s v="CAD"/>
    <n v="1545026400"/>
    <x v="591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"/>
    <x v="1"/>
    <n v="375"/>
    <n v="87.96"/>
    <x v="1"/>
    <s v="USD"/>
    <n v="1488348000"/>
    <x v="592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9999999999999"/>
    <x v="0"/>
    <n v="2928"/>
    <n v="28"/>
    <x v="0"/>
    <s v="CAD"/>
    <n v="1545112800"/>
    <x v="593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0000000000004"/>
    <x v="0"/>
    <n v="4697"/>
    <n v="38"/>
    <x v="1"/>
    <s v="USD"/>
    <n v="1537938000"/>
    <x v="594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n v="0.88600000000000001"/>
    <x v="0"/>
    <n v="2915"/>
    <n v="30"/>
    <x v="1"/>
    <s v="USD"/>
    <n v="1363150800"/>
    <x v="595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x v="596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60000000000005"/>
    <x v="3"/>
    <n v="723"/>
    <n v="85.99"/>
    <x v="1"/>
    <s v="USD"/>
    <n v="1499317200"/>
    <x v="597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n v="0.48480000000000001"/>
    <x v="0"/>
    <n v="602"/>
    <n v="98.01"/>
    <x v="5"/>
    <s v="CHF"/>
    <n v="1287550800"/>
    <x v="598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n v="1404795600"/>
    <x v="599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80000000000003"/>
    <x v="0"/>
    <n v="3868"/>
    <n v="44.99"/>
    <x v="6"/>
    <s v="EUR"/>
    <n v="1393048800"/>
    <x v="6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"/>
    <x v="1"/>
    <s v="USD"/>
    <n v="1470373200"/>
    <x v="601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00000000001"/>
    <x v="1"/>
    <n v="234"/>
    <n v="59.97"/>
    <x v="1"/>
    <s v="USD"/>
    <n v="1460091600"/>
    <x v="602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999999999999"/>
    <x v="1"/>
    <n v="3016"/>
    <n v="59"/>
    <x v="1"/>
    <s v="USD"/>
    <n v="1440392400"/>
    <x v="335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8000000000001"/>
    <x v="1"/>
    <n v="264"/>
    <n v="50.05"/>
    <x v="1"/>
    <s v="USD"/>
    <n v="1488434400"/>
    <x v="603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30000000000001"/>
    <x v="0"/>
    <n v="504"/>
    <n v="98.97"/>
    <x v="2"/>
    <s v="AUD"/>
    <n v="1514440800"/>
    <x v="604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6"/>
    <x v="1"/>
    <s v="USD"/>
    <n v="1514354400"/>
    <x v="605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0000000000002"/>
    <x v="3"/>
    <n v="390"/>
    <n v="81.010000000000005"/>
    <x v="1"/>
    <s v="USD"/>
    <n v="1440910800"/>
    <x v="606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n v="0.4723"/>
    <x v="0"/>
    <n v="750"/>
    <n v="76.010000000000005"/>
    <x v="4"/>
    <s v="GBP"/>
    <n v="1296108000"/>
    <x v="65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40000000000002"/>
    <x v="0"/>
    <n v="77"/>
    <n v="96.6"/>
    <x v="1"/>
    <s v="USD"/>
    <n v="1440133200"/>
    <x v="607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n v="0.54190000000000005"/>
    <x v="0"/>
    <n v="752"/>
    <n v="76.959999999999994"/>
    <x v="3"/>
    <s v="DKK"/>
    <n v="1332910800"/>
    <x v="608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n v="0.97870000000000001"/>
    <x v="0"/>
    <n v="131"/>
    <n v="67.98"/>
    <x v="1"/>
    <s v="USD"/>
    <n v="1544335200"/>
    <x v="609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"/>
    <x v="1"/>
    <s v="USD"/>
    <n v="1286427600"/>
    <x v="61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n v="0.33460000000000001"/>
    <x v="0"/>
    <n v="1063"/>
    <n v="25"/>
    <x v="1"/>
    <s v="USD"/>
    <n v="1329717600"/>
    <x v="541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n v="2.3959000000000001"/>
    <x v="1"/>
    <n v="272"/>
    <n v="44.92"/>
    <x v="1"/>
    <s v="USD"/>
    <n v="1310187600"/>
    <x v="611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29999999999998"/>
    <x v="3"/>
    <n v="25"/>
    <n v="79.400000000000006"/>
    <x v="1"/>
    <s v="USD"/>
    <n v="1377838800"/>
    <x v="612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6000000000001"/>
    <x v="1"/>
    <n v="419"/>
    <n v="29.01"/>
    <x v="1"/>
    <s v="USD"/>
    <n v="1410325200"/>
    <x v="613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4"/>
    <x v="0"/>
    <n v="76"/>
    <n v="73.59"/>
    <x v="1"/>
    <s v="USD"/>
    <n v="1343797200"/>
    <x v="614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5"/>
    <x v="1"/>
    <n v="1621"/>
    <n v="107.97"/>
    <x v="6"/>
    <s v="EUR"/>
    <n v="1498453200"/>
    <x v="615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6000000000001"/>
    <x v="1"/>
    <n v="1101"/>
    <n v="68.989999999999995"/>
    <x v="1"/>
    <s v="USD"/>
    <n v="1456380000"/>
    <x v="9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999999999999"/>
    <x v="1"/>
    <n v="1073"/>
    <n v="111.02"/>
    <x v="1"/>
    <s v="USD"/>
    <n v="1280552400"/>
    <x v="616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0000000000002"/>
    <x v="0"/>
    <n v="4428"/>
    <n v="25"/>
    <x v="2"/>
    <s v="AUD"/>
    <n v="1521608400"/>
    <x v="617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59999999999999"/>
    <x v="0"/>
    <n v="58"/>
    <n v="42.16"/>
    <x v="6"/>
    <s v="EUR"/>
    <n v="1460696400"/>
    <x v="618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9999999999998"/>
    <x v="3"/>
    <n v="1218"/>
    <n v="47"/>
    <x v="1"/>
    <s v="USD"/>
    <n v="1313730000"/>
    <x v="619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8"/>
    <x v="1"/>
    <n v="331"/>
    <n v="36.04"/>
    <x v="1"/>
    <s v="USD"/>
    <n v="1568178000"/>
    <x v="62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5"/>
    <x v="1"/>
    <n v="1170"/>
    <n v="101.04"/>
    <x v="1"/>
    <s v="USD"/>
    <n v="1348635600"/>
    <x v="621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0000000000005"/>
    <x v="0"/>
    <n v="111"/>
    <n v="39.93"/>
    <x v="1"/>
    <s v="USD"/>
    <n v="1468126800"/>
    <x v="622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7"/>
    <x v="3"/>
    <n v="215"/>
    <n v="83.16"/>
    <x v="1"/>
    <s v="USD"/>
    <n v="1547877600"/>
    <x v="35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9999999999997"/>
    <x v="1"/>
    <s v="USD"/>
    <n v="1571374800"/>
    <x v="623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9999999999997"/>
    <x v="0"/>
    <n v="2955"/>
    <n v="47.99"/>
    <x v="1"/>
    <s v="USD"/>
    <n v="1576303200"/>
    <x v="624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9"/>
    <x v="0"/>
    <n v="1657"/>
    <n v="95.98"/>
    <x v="1"/>
    <s v="USD"/>
    <n v="1324447200"/>
    <x v="625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7"/>
    <x v="1"/>
    <n v="103"/>
    <n v="78.73"/>
    <x v="1"/>
    <s v="USD"/>
    <n v="1386741600"/>
    <x v="626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n v="3.5842999999999998"/>
    <x v="1"/>
    <n v="147"/>
    <n v="56.08"/>
    <x v="1"/>
    <s v="USD"/>
    <n v="1537074000"/>
    <x v="627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n v="5.4286000000000003"/>
    <x v="1"/>
    <n v="110"/>
    <n v="69.09"/>
    <x v="0"/>
    <s v="CAD"/>
    <n v="1277787600"/>
    <x v="628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000000000004"/>
    <x v="0"/>
    <n v="926"/>
    <n v="102.05"/>
    <x v="0"/>
    <s v="CAD"/>
    <n v="1440306000"/>
    <x v="629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5"/>
    <x v="1"/>
    <n v="134"/>
    <n v="107.32"/>
    <x v="1"/>
    <s v="USD"/>
    <n v="1522126800"/>
    <x v="63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"/>
    <x v="1"/>
    <s v="USD"/>
    <n v="1489298400"/>
    <x v="631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999999999997"/>
    <x v="1"/>
    <n v="175"/>
    <n v="71.14"/>
    <x v="1"/>
    <s v="USD"/>
    <n v="1547100000"/>
    <x v="632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999999999999"/>
    <x v="1"/>
    <n v="69"/>
    <n v="106.49"/>
    <x v="1"/>
    <s v="USD"/>
    <n v="1383022800"/>
    <x v="633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n v="2.2660999999999998"/>
    <x v="1"/>
    <n v="190"/>
    <n v="42.94"/>
    <x v="1"/>
    <s v="USD"/>
    <n v="1322373600"/>
    <x v="634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4"/>
    <x v="1"/>
    <s v="USD"/>
    <n v="1349240400"/>
    <x v="635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29999999999999"/>
    <x v="0"/>
    <n v="77"/>
    <n v="70.62"/>
    <x v="4"/>
    <s v="GBP"/>
    <n v="1562648400"/>
    <x v="636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70000000000005"/>
    <x v="0"/>
    <n v="1748"/>
    <n v="66.02"/>
    <x v="1"/>
    <s v="USD"/>
    <n v="1508216400"/>
    <x v="637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n v="0.84130000000000005"/>
    <x v="0"/>
    <n v="79"/>
    <n v="96.91"/>
    <x v="1"/>
    <s v="USD"/>
    <n v="1511762400"/>
    <x v="638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2999999999999"/>
    <x v="1"/>
    <n v="196"/>
    <n v="62.87"/>
    <x v="6"/>
    <s v="EUR"/>
    <n v="1447480800"/>
    <x v="639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0000000000004"/>
    <x v="0"/>
    <n v="889"/>
    <n v="108.99"/>
    <x v="1"/>
    <s v="USD"/>
    <n v="1429506000"/>
    <x v="64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"/>
    <x v="1"/>
    <n v="7295"/>
    <n v="27"/>
    <x v="1"/>
    <s v="USD"/>
    <n v="1522472400"/>
    <x v="641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8999999999999"/>
    <x v="1"/>
    <n v="2893"/>
    <n v="65"/>
    <x v="0"/>
    <s v="CAD"/>
    <n v="1322114400"/>
    <x v="642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n v="0.84389999999999998"/>
    <x v="0"/>
    <n v="56"/>
    <n v="111.52"/>
    <x v="1"/>
    <s v="USD"/>
    <n v="1561438800"/>
    <x v="23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n v="1264399200"/>
    <x v="67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3"/>
    <x v="1"/>
    <n v="820"/>
    <n v="110.99"/>
    <x v="1"/>
    <s v="USD"/>
    <n v="1301202000"/>
    <x v="643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9999999999999"/>
    <x v="0"/>
    <n v="83"/>
    <n v="56.75"/>
    <x v="1"/>
    <s v="USD"/>
    <n v="1374469200"/>
    <x v="644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"/>
    <x v="1"/>
    <n v="2038"/>
    <n v="97.02"/>
    <x v="1"/>
    <s v="USD"/>
    <n v="1334984400"/>
    <x v="645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"/>
    <x v="1"/>
    <n v="116"/>
    <n v="92.09"/>
    <x v="1"/>
    <s v="USD"/>
    <n v="1467608400"/>
    <x v="646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9999999999996"/>
    <x v="0"/>
    <n v="2025"/>
    <n v="82.99"/>
    <x v="4"/>
    <s v="GBP"/>
    <n v="1386741600"/>
    <x v="626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5"/>
    <x v="1"/>
    <n v="1345"/>
    <n v="103.04"/>
    <x v="2"/>
    <s v="AUD"/>
    <n v="1546754400"/>
    <x v="647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2000000000001"/>
    <x v="1"/>
    <n v="168"/>
    <n v="68.92"/>
    <x v="1"/>
    <s v="USD"/>
    <n v="1544248800"/>
    <x v="159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999999999998"/>
    <x v="1"/>
    <n v="137"/>
    <n v="87.74"/>
    <x v="5"/>
    <s v="CHF"/>
    <n v="1495429200"/>
    <x v="648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999999999999"/>
    <x v="1"/>
    <n v="186"/>
    <n v="75.02"/>
    <x v="6"/>
    <s v="EUR"/>
    <n v="1334811600"/>
    <x v="267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5999999999999"/>
    <x v="1"/>
    <n v="125"/>
    <n v="50.86"/>
    <x v="1"/>
    <s v="USD"/>
    <n v="1531544400"/>
    <x v="649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19999999999999"/>
    <x v="0"/>
    <n v="14"/>
    <n v="90"/>
    <x v="6"/>
    <s v="EUR"/>
    <n v="1453615200"/>
    <x v="248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300000000002"/>
    <x v="1"/>
    <n v="202"/>
    <n v="72.900000000000006"/>
    <x v="1"/>
    <s v="USD"/>
    <n v="1467954000"/>
    <x v="571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n v="1.6194"/>
    <x v="1"/>
    <n v="103"/>
    <n v="108.49"/>
    <x v="1"/>
    <s v="USD"/>
    <n v="1471842000"/>
    <x v="65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00000000002"/>
    <x v="1"/>
    <n v="1785"/>
    <n v="101.98"/>
    <x v="1"/>
    <s v="USD"/>
    <n v="1408424400"/>
    <x v="1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7"/>
    <x v="0"/>
    <n v="656"/>
    <n v="44.01"/>
    <x v="1"/>
    <s v="USD"/>
    <n v="1281157200"/>
    <x v="651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"/>
    <x v="1"/>
    <s v="USD"/>
    <n v="1373432400"/>
    <x v="652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3999999999999"/>
    <x v="1"/>
    <n v="555"/>
    <n v="24.99"/>
    <x v="1"/>
    <s v="USD"/>
    <n v="1313989200"/>
    <x v="653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"/>
    <x v="1"/>
    <n v="297"/>
    <n v="28"/>
    <x v="1"/>
    <s v="USD"/>
    <n v="1371445200"/>
    <x v="654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3"/>
    <x v="1"/>
    <s v="USD"/>
    <n v="1338267600"/>
    <x v="655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0000000000001"/>
    <x v="3"/>
    <n v="38"/>
    <n v="84.92"/>
    <x v="3"/>
    <s v="DKK"/>
    <n v="1519192800"/>
    <x v="656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00000000000002E-2"/>
    <x v="3"/>
    <n v="60"/>
    <n v="90.48"/>
    <x v="1"/>
    <s v="USD"/>
    <n v="1522818000"/>
    <x v="657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n v="1.5650999999999999"/>
    <x v="1"/>
    <n v="3036"/>
    <n v="25"/>
    <x v="1"/>
    <s v="USD"/>
    <n v="1509948000"/>
    <x v="265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999999999999"/>
    <x v="1"/>
    <n v="144"/>
    <n v="92.01"/>
    <x v="2"/>
    <s v="AUD"/>
    <n v="1456898400"/>
    <x v="658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6"/>
    <x v="1"/>
    <n v="121"/>
    <n v="93.07"/>
    <x v="4"/>
    <s v="GBP"/>
    <n v="1413954000"/>
    <x v="659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n v="0.504"/>
    <x v="0"/>
    <n v="1596"/>
    <n v="61.01"/>
    <x v="1"/>
    <s v="USD"/>
    <n v="1416031200"/>
    <x v="66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9999999999999"/>
    <x v="3"/>
    <n v="524"/>
    <n v="92.04"/>
    <x v="1"/>
    <s v="USD"/>
    <n v="1287982800"/>
    <x v="661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"/>
    <x v="1"/>
    <s v="USD"/>
    <n v="1547964000"/>
    <x v="4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x v="662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"/>
    <x v="1"/>
    <n v="122"/>
    <n v="85.22"/>
    <x v="1"/>
    <s v="USD"/>
    <n v="1359957600"/>
    <x v="663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5999999999998"/>
    <x v="1"/>
    <n v="1071"/>
    <n v="110.97"/>
    <x v="0"/>
    <s v="CAD"/>
    <n v="1432357200"/>
    <x v="664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7"/>
    <x v="1"/>
    <s v="USD"/>
    <n v="1500786000"/>
    <x v="665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79999999999995"/>
    <x v="0"/>
    <n v="1121"/>
    <n v="96.01"/>
    <x v="1"/>
    <s v="USD"/>
    <n v="1490158800"/>
    <x v="666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n v="5.2701000000000002"/>
    <x v="1"/>
    <n v="980"/>
    <n v="84.97"/>
    <x v="1"/>
    <s v="USD"/>
    <n v="1406178000"/>
    <x v="43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n v="3.1913999999999998"/>
    <x v="1"/>
    <n v="536"/>
    <n v="25.01"/>
    <x v="1"/>
    <s v="USD"/>
    <n v="1485583200"/>
    <x v="667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9"/>
    <x v="1"/>
    <n v="1991"/>
    <n v="66"/>
    <x v="1"/>
    <s v="USD"/>
    <n v="1459314000"/>
    <x v="668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900000000000001"/>
    <x v="3"/>
    <n v="29"/>
    <n v="87.34"/>
    <x v="1"/>
    <s v="USD"/>
    <n v="1424412000"/>
    <x v="669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"/>
    <x v="1"/>
    <n v="180"/>
    <n v="27.93"/>
    <x v="1"/>
    <s v="USD"/>
    <n v="1478844000"/>
    <x v="67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799999999999999E-2"/>
    <x v="0"/>
    <n v="15"/>
    <n v="103.8"/>
    <x v="1"/>
    <s v="USD"/>
    <n v="1416117600"/>
    <x v="671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4"/>
    <x v="1"/>
    <s v="USD"/>
    <n v="1340946000"/>
    <x v="672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4"/>
    <x v="0"/>
    <n v="16"/>
    <n v="99.5"/>
    <x v="1"/>
    <s v="USD"/>
    <n v="1486101600"/>
    <x v="673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n v="11.791700000000001"/>
    <x v="1"/>
    <n v="130"/>
    <n v="108.85"/>
    <x v="1"/>
    <s v="USD"/>
    <n v="1274590800"/>
    <x v="674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"/>
    <x v="1"/>
    <n v="122"/>
    <n v="110.76"/>
    <x v="1"/>
    <s v="USD"/>
    <n v="1263880800"/>
    <x v="675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0000000000001"/>
    <x v="0"/>
    <n v="17"/>
    <n v="29.65"/>
    <x v="1"/>
    <s v="USD"/>
    <n v="1445403600"/>
    <x v="676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"/>
    <x v="1"/>
    <s v="USD"/>
    <n v="1533877200"/>
    <x v="342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299999999999999"/>
    <x v="0"/>
    <n v="34"/>
    <n v="61.5"/>
    <x v="1"/>
    <s v="USD"/>
    <n v="1275195600"/>
    <x v="677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1000000000002"/>
    <x v="1"/>
    <n v="3388"/>
    <n v="35"/>
    <x v="1"/>
    <s v="USD"/>
    <n v="1318136400"/>
    <x v="678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6000000000002"/>
    <x v="1"/>
    <n v="280"/>
    <n v="40.049999999999997"/>
    <x v="1"/>
    <s v="USD"/>
    <n v="1283403600"/>
    <x v="679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n v="0.34960000000000002"/>
    <x v="3"/>
    <n v="614"/>
    <n v="110.97"/>
    <x v="1"/>
    <s v="USD"/>
    <n v="1267423200"/>
    <x v="68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"/>
    <x v="1"/>
    <n v="366"/>
    <n v="36.96"/>
    <x v="6"/>
    <s v="EUR"/>
    <n v="1412744400"/>
    <x v="681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n v="1277960400"/>
    <x v="682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1000000000002"/>
    <x v="1"/>
    <n v="270"/>
    <n v="30.97"/>
    <x v="1"/>
    <s v="USD"/>
    <n v="1458190800"/>
    <x v="683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9999999999999"/>
    <x v="3"/>
    <n v="114"/>
    <n v="47.04"/>
    <x v="1"/>
    <s v="USD"/>
    <n v="1280984400"/>
    <x v="684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000000000002"/>
    <x v="1"/>
    <n v="137"/>
    <n v="88.07"/>
    <x v="1"/>
    <s v="USD"/>
    <n v="1274590800"/>
    <x v="674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00000000001"/>
    <x v="1"/>
    <n v="3205"/>
    <n v="37.01"/>
    <x v="1"/>
    <s v="USD"/>
    <n v="1351400400"/>
    <x v="685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999999999999"/>
    <x v="1"/>
    <n v="288"/>
    <n v="26.03"/>
    <x v="3"/>
    <s v="DKK"/>
    <n v="1514354400"/>
    <x v="605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999999999997"/>
    <x v="1"/>
    <n v="148"/>
    <n v="67.819999999999993"/>
    <x v="1"/>
    <s v="USD"/>
    <n v="1421733600"/>
    <x v="686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6"/>
    <x v="1"/>
    <n v="114"/>
    <n v="49.96"/>
    <x v="1"/>
    <s v="USD"/>
    <n v="1305176400"/>
    <x v="687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1000000000001"/>
    <x v="1"/>
    <n v="1518"/>
    <n v="110.02"/>
    <x v="0"/>
    <s v="CAD"/>
    <n v="1414126800"/>
    <x v="688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30000000000002"/>
    <x v="0"/>
    <n v="1274"/>
    <n v="89.96"/>
    <x v="1"/>
    <s v="USD"/>
    <n v="1517810400"/>
    <x v="689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n v="0.34350000000000003"/>
    <x v="0"/>
    <n v="210"/>
    <n v="79.010000000000005"/>
    <x v="6"/>
    <s v="EUR"/>
    <n v="1564635600"/>
    <x v="69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"/>
    <x v="1"/>
    <n v="166"/>
    <n v="86.87"/>
    <x v="1"/>
    <s v="USD"/>
    <n v="1500699600"/>
    <x v="691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n v="1.7726"/>
    <x v="1"/>
    <n v="100"/>
    <n v="62.04"/>
    <x v="2"/>
    <s v="AUD"/>
    <n v="1354082400"/>
    <x v="692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n v="1.1317999999999999"/>
    <x v="1"/>
    <n v="235"/>
    <n v="26.97"/>
    <x v="1"/>
    <s v="USD"/>
    <n v="1336453200"/>
    <x v="693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7999999999996"/>
    <x v="1"/>
    <n v="148"/>
    <n v="54.12"/>
    <x v="1"/>
    <s v="USD"/>
    <n v="1305262800"/>
    <x v="694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n v="2.0832999999999999"/>
    <x v="1"/>
    <n v="198"/>
    <n v="41.04"/>
    <x v="1"/>
    <s v="USD"/>
    <n v="1492232400"/>
    <x v="695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69999999999998"/>
    <x v="0"/>
    <n v="248"/>
    <n v="55.05"/>
    <x v="2"/>
    <s v="AUD"/>
    <n v="1537333200"/>
    <x v="123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9999999999998"/>
    <x v="0"/>
    <n v="513"/>
    <n v="107.94"/>
    <x v="1"/>
    <s v="USD"/>
    <n v="1444107600"/>
    <x v="696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x v="626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n v="0.86870000000000003"/>
    <x v="0"/>
    <n v="3410"/>
    <n v="32"/>
    <x v="1"/>
    <s v="USD"/>
    <n v="1376542800"/>
    <x v="697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3999999999998"/>
    <x v="1"/>
    <n v="216"/>
    <n v="53.9"/>
    <x v="6"/>
    <s v="EUR"/>
    <n v="1397451600"/>
    <x v="698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5"/>
    <x v="3"/>
    <n v="26"/>
    <n v="106.5"/>
    <x v="1"/>
    <s v="USD"/>
    <n v="1548482400"/>
    <x v="699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99999999999"/>
    <x v="1"/>
    <n v="5139"/>
    <n v="33"/>
    <x v="1"/>
    <s v="USD"/>
    <n v="1549692000"/>
    <x v="7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6"/>
    <x v="1"/>
    <n v="2353"/>
    <n v="43"/>
    <x v="1"/>
    <s v="USD"/>
    <n v="1492059600"/>
    <x v="701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6"/>
    <x v="6"/>
    <s v="EUR"/>
    <n v="1463979600"/>
    <x v="702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9999999999999"/>
    <x v="0"/>
    <n v="10"/>
    <n v="96.8"/>
    <x v="1"/>
    <s v="USD"/>
    <n v="1415253600"/>
    <x v="703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n v="0.65539999999999998"/>
    <x v="0"/>
    <n v="2201"/>
    <n v="33"/>
    <x v="1"/>
    <s v="USD"/>
    <n v="1562216400"/>
    <x v="704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30000000000001"/>
    <x v="0"/>
    <n v="676"/>
    <n v="68.03"/>
    <x v="1"/>
    <s v="USD"/>
    <n v="1316754000"/>
    <x v="431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n v="7.8792"/>
    <x v="1"/>
    <n v="174"/>
    <n v="58.87"/>
    <x v="5"/>
    <s v="CHF"/>
    <n v="1313211600"/>
    <x v="705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10000000000004"/>
    <x v="0"/>
    <n v="831"/>
    <n v="105.05"/>
    <x v="1"/>
    <s v="USD"/>
    <n v="1439528400"/>
    <x v="706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"/>
    <x v="1"/>
    <n v="164"/>
    <n v="33.049999999999997"/>
    <x v="1"/>
    <s v="USD"/>
    <n v="1469163600"/>
    <x v="707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9999999999996"/>
    <x v="3"/>
    <n v="56"/>
    <n v="78.819999999999993"/>
    <x v="5"/>
    <s v="CHF"/>
    <n v="1288501200"/>
    <x v="708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0999999999998"/>
    <x v="1"/>
    <n v="161"/>
    <n v="68.2"/>
    <x v="1"/>
    <s v="USD"/>
    <n v="1298959200"/>
    <x v="709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3000000000001"/>
    <x v="1"/>
    <n v="138"/>
    <n v="75.73"/>
    <x v="1"/>
    <s v="USD"/>
    <n v="1387260000"/>
    <x v="71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n v="1.1534"/>
    <x v="1"/>
    <n v="3308"/>
    <n v="31"/>
    <x v="1"/>
    <s v="USD"/>
    <n v="1457244000"/>
    <x v="711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2"/>
    <x v="1"/>
    <n v="127"/>
    <n v="101.88"/>
    <x v="2"/>
    <s v="AUD"/>
    <n v="1556341200"/>
    <x v="157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2999999999999"/>
    <x v="1"/>
    <n v="207"/>
    <n v="52.88"/>
    <x v="6"/>
    <s v="EUR"/>
    <n v="1522126800"/>
    <x v="63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0000000000004"/>
    <x v="0"/>
    <n v="859"/>
    <n v="71.010000000000005"/>
    <x v="0"/>
    <s v="CAD"/>
    <n v="1305954000"/>
    <x v="712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n v="0.88170000000000004"/>
    <x v="2"/>
    <n v="31"/>
    <n v="102.39"/>
    <x v="1"/>
    <s v="USD"/>
    <n v="1350709200"/>
    <x v="93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0000000000002"/>
    <x v="0"/>
    <n v="45"/>
    <n v="74.47"/>
    <x v="1"/>
    <s v="USD"/>
    <n v="1401166800"/>
    <x v="713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"/>
    <x v="3"/>
    <n v="1113"/>
    <n v="51.01"/>
    <x v="1"/>
    <s v="USD"/>
    <n v="1266127200"/>
    <x v="714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"/>
    <x v="0"/>
    <n v="6"/>
    <n v="90"/>
    <x v="1"/>
    <s v="USD"/>
    <n v="1481436000"/>
    <x v="715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"/>
    <x v="1"/>
    <s v="USD"/>
    <n v="1372222800"/>
    <x v="716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1"/>
    <x v="1"/>
    <n v="181"/>
    <n v="72.069999999999993"/>
    <x v="5"/>
    <s v="CHF"/>
    <n v="1372136400"/>
    <x v="448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n v="1.2539"/>
    <x v="1"/>
    <n v="110"/>
    <n v="75.239999999999995"/>
    <x v="1"/>
    <s v="USD"/>
    <n v="1513922400"/>
    <x v="717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"/>
    <x v="0"/>
    <n v="31"/>
    <n v="32.97"/>
    <x v="1"/>
    <s v="USD"/>
    <n v="1477976400"/>
    <x v="718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10000000000003"/>
    <x v="0"/>
    <n v="78"/>
    <n v="54.81"/>
    <x v="1"/>
    <s v="USD"/>
    <n v="1407474000"/>
    <x v="719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000000000001"/>
    <x v="1"/>
    <n v="185"/>
    <n v="45.04"/>
    <x v="1"/>
    <s v="USD"/>
    <n v="1546149600"/>
    <x v="72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n v="1.8847"/>
    <x v="1"/>
    <n v="121"/>
    <n v="52.96"/>
    <x v="1"/>
    <s v="USD"/>
    <n v="1338440400"/>
    <x v="721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n v="0.87009999999999998"/>
    <x v="0"/>
    <n v="1225"/>
    <n v="60.02"/>
    <x v="4"/>
    <s v="GBP"/>
    <n v="1454133600"/>
    <x v="722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n v="1434085200"/>
    <x v="139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n v="2.0291000000000001"/>
    <x v="1"/>
    <n v="106"/>
    <n v="44.03"/>
    <x v="1"/>
    <s v="USD"/>
    <n v="1577772000"/>
    <x v="723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2999999999999"/>
    <x v="1"/>
    <n v="142"/>
    <n v="86.03"/>
    <x v="1"/>
    <s v="USD"/>
    <n v="1562216400"/>
    <x v="704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"/>
    <x v="1"/>
    <s v="USD"/>
    <n v="1548568800"/>
    <x v="724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"/>
    <x v="1"/>
    <n v="218"/>
    <n v="32.049999999999997"/>
    <x v="1"/>
    <s v="USD"/>
    <n v="1514872800"/>
    <x v="725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9999999999995"/>
    <x v="0"/>
    <n v="67"/>
    <n v="73.61"/>
    <x v="2"/>
    <s v="AUD"/>
    <n v="1416031200"/>
    <x v="66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99999999999"/>
    <x v="1"/>
    <n v="76"/>
    <n v="108.71"/>
    <x v="1"/>
    <s v="USD"/>
    <n v="1330927200"/>
    <x v="726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8"/>
    <x v="1"/>
    <s v="USD"/>
    <n v="1571115600"/>
    <x v="727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"/>
    <x v="0"/>
    <n v="19"/>
    <n v="83.32"/>
    <x v="1"/>
    <s v="USD"/>
    <n v="1463461200"/>
    <x v="728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000000000003"/>
    <x v="0"/>
    <n v="2108"/>
    <n v="42"/>
    <x v="5"/>
    <s v="CHF"/>
    <n v="1344920400"/>
    <x v="729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3"/>
    <x v="1"/>
    <n v="221"/>
    <n v="55.93"/>
    <x v="1"/>
    <s v="USD"/>
    <n v="1511848800"/>
    <x v="73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0000000000002"/>
    <x v="0"/>
    <n v="679"/>
    <n v="105.04"/>
    <x v="1"/>
    <s v="USD"/>
    <n v="1452319200"/>
    <x v="731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3000000000001"/>
    <x v="1"/>
    <n v="2805"/>
    <n v="48"/>
    <x v="0"/>
    <s v="CAD"/>
    <n v="1523854800"/>
    <x v="78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999999999999"/>
    <x v="1"/>
    <n v="68"/>
    <n v="112.66"/>
    <x v="1"/>
    <s v="USD"/>
    <n v="1346043600"/>
    <x v="732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n v="0.92190000000000005"/>
    <x v="0"/>
    <n v="36"/>
    <n v="81.94"/>
    <x v="3"/>
    <s v="DKK"/>
    <n v="1464325200"/>
    <x v="733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"/>
    <x v="1"/>
    <n v="183"/>
    <n v="64.05"/>
    <x v="0"/>
    <s v="CAD"/>
    <n v="1511935200"/>
    <x v="734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999999999997"/>
    <x v="1"/>
    <n v="133"/>
    <n v="106.39"/>
    <x v="1"/>
    <s v="USD"/>
    <n v="1392012000"/>
    <x v="406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80000000000002"/>
    <x v="1"/>
    <n v="2489"/>
    <n v="76.010000000000005"/>
    <x v="6"/>
    <s v="EUR"/>
    <n v="1556946000"/>
    <x v="735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600000000001"/>
    <x v="1"/>
    <n v="69"/>
    <n v="111.07"/>
    <x v="1"/>
    <s v="USD"/>
    <n v="1548050400"/>
    <x v="736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0000000000005"/>
    <x v="0"/>
    <n v="47"/>
    <n v="95.94"/>
    <x v="1"/>
    <s v="USD"/>
    <n v="1353736800"/>
    <x v="737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"/>
    <x v="4"/>
    <s v="GBP"/>
    <n v="1532840400"/>
    <x v="192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n v="2.9129"/>
    <x v="1"/>
    <n v="210"/>
    <n v="67.97"/>
    <x v="1"/>
    <s v="USD"/>
    <n v="1488261600"/>
    <x v="738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999999999998"/>
    <x v="1"/>
    <n v="2100"/>
    <n v="89.99"/>
    <x v="1"/>
    <s v="USD"/>
    <n v="1393567200"/>
    <x v="739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n v="3.5707"/>
    <x v="1"/>
    <n v="252"/>
    <n v="58.1"/>
    <x v="1"/>
    <s v="USD"/>
    <n v="1410325200"/>
    <x v="613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99999999999"/>
    <x v="1"/>
    <n v="1280"/>
    <n v="84"/>
    <x v="1"/>
    <s v="USD"/>
    <n v="1276923600"/>
    <x v="74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"/>
    <x v="4"/>
    <s v="GBP"/>
    <n v="1500958800"/>
    <x v="145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4000000000002"/>
    <x v="1"/>
    <n v="194"/>
    <n v="65.959999999999994"/>
    <x v="1"/>
    <s v="USD"/>
    <n v="1292220000"/>
    <x v="741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999999999998"/>
    <x v="1"/>
    <n v="82"/>
    <n v="74.8"/>
    <x v="2"/>
    <s v="AUD"/>
    <n v="1304398800"/>
    <x v="742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9999999999995"/>
    <x v="1"/>
    <s v="USD"/>
    <n v="1535432400"/>
    <x v="202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n v="0.51339999999999997"/>
    <x v="0"/>
    <n v="154"/>
    <n v="32.01"/>
    <x v="1"/>
    <s v="USD"/>
    <n v="1433826000"/>
    <x v="743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E-2"/>
    <x v="0"/>
    <n v="22"/>
    <n v="64.73"/>
    <x v="1"/>
    <s v="USD"/>
    <n v="1514959200"/>
    <x v="744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8000000000001"/>
    <x v="1"/>
    <n v="4233"/>
    <n v="25"/>
    <x v="1"/>
    <s v="USD"/>
    <n v="1332738000"/>
    <x v="745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8000000000002"/>
    <x v="1"/>
    <n v="1297"/>
    <n v="104.98"/>
    <x v="3"/>
    <s v="DKK"/>
    <n v="1445490000"/>
    <x v="746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"/>
    <x v="1"/>
    <n v="165"/>
    <n v="64.989999999999995"/>
    <x v="3"/>
    <s v="DKK"/>
    <n v="1297663200"/>
    <x v="747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1"/>
    <x v="1"/>
    <n v="119"/>
    <n v="94.35"/>
    <x v="1"/>
    <s v="USD"/>
    <n v="1371963600"/>
    <x v="362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9999999999998"/>
    <x v="0"/>
    <n v="1758"/>
    <n v="44"/>
    <x v="1"/>
    <s v="USD"/>
    <n v="1425103200"/>
    <x v="748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n v="0.75139999999999996"/>
    <x v="0"/>
    <n v="94"/>
    <n v="64.739999999999995"/>
    <x v="1"/>
    <s v="USD"/>
    <n v="1265349600"/>
    <x v="749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000000000004"/>
    <x v="1"/>
    <n v="1797"/>
    <n v="84.01"/>
    <x v="1"/>
    <s v="USD"/>
    <n v="1301202000"/>
    <x v="643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1"/>
    <x v="1"/>
    <n v="261"/>
    <n v="34.06"/>
    <x v="1"/>
    <s v="USD"/>
    <n v="1538024400"/>
    <x v="75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n v="1.9017999999999999"/>
    <x v="1"/>
    <n v="157"/>
    <n v="93.27"/>
    <x v="1"/>
    <s v="USD"/>
    <n v="1395032400"/>
    <x v="751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"/>
    <x v="1"/>
    <n v="3533"/>
    <n v="33"/>
    <x v="1"/>
    <s v="USD"/>
    <n v="1405486800"/>
    <x v="752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6"/>
    <x v="1"/>
    <n v="155"/>
    <n v="83.81"/>
    <x v="1"/>
    <s v="USD"/>
    <n v="1455861600"/>
    <x v="753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000000000004"/>
    <x v="1"/>
    <n v="132"/>
    <n v="63.99"/>
    <x v="6"/>
    <s v="EUR"/>
    <n v="1529038800"/>
    <x v="754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9999999999997"/>
    <x v="0"/>
    <n v="33"/>
    <n v="81.91"/>
    <x v="1"/>
    <s v="USD"/>
    <n v="1535259600"/>
    <x v="755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9999999999999"/>
    <x v="3"/>
    <n v="94"/>
    <n v="93.05"/>
    <x v="1"/>
    <s v="USD"/>
    <n v="1327212000"/>
    <x v="756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5"/>
    <x v="1"/>
    <n v="1354"/>
    <n v="101.98"/>
    <x v="4"/>
    <s v="GBP"/>
    <n v="1526360400"/>
    <x v="757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4"/>
    <x v="1"/>
    <s v="USD"/>
    <n v="1532149200"/>
    <x v="758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000000000002"/>
    <x v="1"/>
    <n v="110"/>
    <n v="101.58"/>
    <x v="1"/>
    <s v="USD"/>
    <n v="1515304800"/>
    <x v="759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7"/>
    <x v="1"/>
    <n v="172"/>
    <n v="62.97"/>
    <x v="1"/>
    <s v="USD"/>
    <n v="1276318800"/>
    <x v="76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9"/>
    <x v="1"/>
    <n v="307"/>
    <n v="29.05"/>
    <x v="1"/>
    <s v="USD"/>
    <n v="1328767200"/>
    <x v="761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n v="1321682400"/>
    <x v="762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30000000000007"/>
    <x v="1"/>
    <s v="USD"/>
    <n v="1335934800"/>
    <x v="444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19999999999999"/>
    <x v="0"/>
    <n v="31"/>
    <n v="80.81"/>
    <x v="1"/>
    <s v="USD"/>
    <n v="1310792400"/>
    <x v="763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6"/>
    <x v="1"/>
    <n v="1467"/>
    <n v="76.010000000000005"/>
    <x v="0"/>
    <s v="CAD"/>
    <n v="1308546000"/>
    <x v="764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00000000001"/>
    <x v="1"/>
    <n v="2662"/>
    <n v="72.989999999999995"/>
    <x v="0"/>
    <s v="CAD"/>
    <n v="1574056800"/>
    <x v="765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8"/>
    <x v="1"/>
    <n v="452"/>
    <n v="53"/>
    <x v="2"/>
    <s v="AUD"/>
    <n v="1308373200"/>
    <x v="766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n v="3.5657999999999999"/>
    <x v="1"/>
    <n v="158"/>
    <n v="54.16"/>
    <x v="1"/>
    <s v="USD"/>
    <n v="1335243600"/>
    <x v="767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7000000000001"/>
    <x v="1"/>
    <n v="225"/>
    <n v="32.950000000000003"/>
    <x v="5"/>
    <s v="CHF"/>
    <n v="1328421600"/>
    <x v="768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"/>
    <x v="1"/>
    <s v="USD"/>
    <n v="1524286800"/>
    <x v="769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"/>
    <x v="0"/>
    <n v="63"/>
    <n v="41.17"/>
    <x v="1"/>
    <s v="USD"/>
    <n v="1362117600"/>
    <x v="77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000000000007"/>
    <x v="1"/>
    <s v="USD"/>
    <n v="1550556000"/>
    <x v="771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8"/>
    <x v="1"/>
    <n v="163"/>
    <n v="57.16"/>
    <x v="1"/>
    <s v="USD"/>
    <n v="1269147600"/>
    <x v="772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3000000000001"/>
    <x v="1"/>
    <n v="85"/>
    <n v="77.180000000000007"/>
    <x v="1"/>
    <s v="USD"/>
    <n v="1312174800"/>
    <x v="773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n v="3.8679000000000001"/>
    <x v="1"/>
    <n v="217"/>
    <n v="24.95"/>
    <x v="1"/>
    <s v="USD"/>
    <n v="1434517200"/>
    <x v="774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6999999999999"/>
    <x v="1"/>
    <n v="150"/>
    <n v="97.18"/>
    <x v="1"/>
    <s v="USD"/>
    <n v="1471582800"/>
    <x v="775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00000000001"/>
    <x v="1"/>
    <n v="3272"/>
    <n v="46"/>
    <x v="1"/>
    <s v="USD"/>
    <n v="1410757200"/>
    <x v="776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0000000000001"/>
    <x v="3"/>
    <n v="898"/>
    <n v="88.02"/>
    <x v="1"/>
    <s v="USD"/>
    <n v="1304830800"/>
    <x v="777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4000000000001"/>
    <x v="1"/>
    <n v="300"/>
    <n v="25.99"/>
    <x v="1"/>
    <s v="USD"/>
    <n v="1539061200"/>
    <x v="778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"/>
    <x v="1"/>
    <n v="126"/>
    <n v="102.69"/>
    <x v="1"/>
    <s v="USD"/>
    <n v="1381554000"/>
    <x v="779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699999999999999"/>
    <x v="0"/>
    <n v="526"/>
    <n v="72.959999999999994"/>
    <x v="1"/>
    <s v="USD"/>
    <n v="1277096400"/>
    <x v="78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000000000005"/>
    <x v="0"/>
    <n v="121"/>
    <n v="57.19"/>
    <x v="1"/>
    <s v="USD"/>
    <n v="1440392400"/>
    <x v="335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"/>
    <x v="1"/>
    <n v="2320"/>
    <n v="84.01"/>
    <x v="1"/>
    <s v="USD"/>
    <n v="1509512400"/>
    <x v="535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n v="1.7003999999999999"/>
    <x v="1"/>
    <n v="81"/>
    <n v="98.67"/>
    <x v="2"/>
    <s v="AUD"/>
    <n v="1535950800"/>
    <x v="27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9"/>
    <x v="1"/>
    <n v="1887"/>
    <n v="42.01"/>
    <x v="1"/>
    <s v="USD"/>
    <n v="1389160800"/>
    <x v="781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999999999998"/>
    <x v="1"/>
    <n v="4358"/>
    <n v="32"/>
    <x v="1"/>
    <s v="USD"/>
    <n v="1271998800"/>
    <x v="782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9999999999997"/>
    <x v="0"/>
    <n v="67"/>
    <n v="81.569999999999993"/>
    <x v="1"/>
    <s v="USD"/>
    <n v="1294898400"/>
    <x v="783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0000000000003"/>
    <x v="0"/>
    <n v="57"/>
    <n v="37.04"/>
    <x v="0"/>
    <s v="CAD"/>
    <n v="1559970000"/>
    <x v="784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000000000002"/>
    <x v="0"/>
    <n v="1229"/>
    <n v="103.03"/>
    <x v="1"/>
    <s v="USD"/>
    <n v="1469509200"/>
    <x v="785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0000000000002"/>
    <x v="0"/>
    <n v="12"/>
    <n v="84.33"/>
    <x v="6"/>
    <s v="EUR"/>
    <n v="1579068000"/>
    <x v="786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"/>
    <x v="1"/>
    <s v="USD"/>
    <n v="1487743200"/>
    <x v="787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000000000001"/>
    <x v="1"/>
    <n v="2414"/>
    <n v="79.989999999999995"/>
    <x v="1"/>
    <s v="USD"/>
    <n v="1563685200"/>
    <x v="788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50000000000001"/>
    <x v="0"/>
    <n v="452"/>
    <n v="70.06"/>
    <x v="1"/>
    <s v="USD"/>
    <n v="1436418000"/>
    <x v="33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n v="1421820000"/>
    <x v="789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000000000002"/>
    <x v="1"/>
    <n v="193"/>
    <n v="41.91"/>
    <x v="1"/>
    <s v="USD"/>
    <n v="1274763600"/>
    <x v="79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9999999999997"/>
    <x v="0"/>
    <n v="1886"/>
    <n v="57.99"/>
    <x v="1"/>
    <s v="USD"/>
    <n v="1399179600"/>
    <x v="791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n v="1.1828000000000001"/>
    <x v="1"/>
    <n v="52"/>
    <n v="40.94"/>
    <x v="1"/>
    <s v="USD"/>
    <n v="1275800400"/>
    <x v="792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19999999999995"/>
    <x v="0"/>
    <n v="1825"/>
    <n v="70"/>
    <x v="1"/>
    <s v="USD"/>
    <n v="1282798800"/>
    <x v="793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9999999999998"/>
    <x v="0"/>
    <n v="31"/>
    <n v="73.84"/>
    <x v="1"/>
    <s v="USD"/>
    <n v="1437109200"/>
    <x v="794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90000000000002"/>
    <x v="1"/>
    <n v="290"/>
    <n v="41.98"/>
    <x v="1"/>
    <s v="USD"/>
    <n v="1491886800"/>
    <x v="795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n v="1.6979"/>
    <x v="1"/>
    <n v="122"/>
    <n v="77.930000000000007"/>
    <x v="1"/>
    <s v="USD"/>
    <n v="1394600400"/>
    <x v="796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6"/>
    <x v="1"/>
    <n v="1470"/>
    <n v="106.02"/>
    <x v="1"/>
    <s v="USD"/>
    <n v="1561352400"/>
    <x v="797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2"/>
    <x v="0"/>
    <s v="CAD"/>
    <n v="1322892000"/>
    <x v="798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000000000001"/>
    <x v="1"/>
    <n v="182"/>
    <n v="76.02"/>
    <x v="1"/>
    <s v="USD"/>
    <n v="1274418000"/>
    <x v="799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"/>
    <x v="1"/>
    <n v="199"/>
    <n v="54.12"/>
    <x v="6"/>
    <s v="EUR"/>
    <n v="1434344400"/>
    <x v="8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1"/>
    <x v="1"/>
    <n v="56"/>
    <n v="57.29"/>
    <x v="4"/>
    <s v="GBP"/>
    <n v="1373518800"/>
    <x v="801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00000000000006E-2"/>
    <x v="0"/>
    <n v="107"/>
    <n v="103.81"/>
    <x v="1"/>
    <s v="USD"/>
    <n v="1517637600"/>
    <x v="802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"/>
    <x v="1"/>
    <n v="1460"/>
    <n v="105.03"/>
    <x v="2"/>
    <s v="AUD"/>
    <n v="1310619600"/>
    <x v="803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n v="0.27689999999999998"/>
    <x v="0"/>
    <n v="27"/>
    <n v="90.26"/>
    <x v="1"/>
    <s v="USD"/>
    <n v="1556427600"/>
    <x v="212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n v="0.52480000000000004"/>
    <x v="0"/>
    <n v="1221"/>
    <n v="76.98"/>
    <x v="1"/>
    <s v="USD"/>
    <n v="1576476000"/>
    <x v="804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999999999997"/>
    <x v="1"/>
    <n v="123"/>
    <n v="102.6"/>
    <x v="5"/>
    <s v="CHF"/>
    <n v="1381122000"/>
    <x v="805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n v="1411102800"/>
    <x v="806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n v="1.5618000000000001"/>
    <x v="1"/>
    <n v="159"/>
    <n v="55.01"/>
    <x v="1"/>
    <s v="USD"/>
    <n v="1531803600"/>
    <x v="807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3000000000002"/>
    <x v="1"/>
    <n v="110"/>
    <n v="32.130000000000003"/>
    <x v="1"/>
    <s v="USD"/>
    <n v="1454133600"/>
    <x v="722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9999999999999E-2"/>
    <x v="2"/>
    <n v="14"/>
    <n v="50.64"/>
    <x v="1"/>
    <s v="USD"/>
    <n v="1336194000"/>
    <x v="477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000000000001"/>
    <x v="0"/>
    <n v="16"/>
    <n v="49.69"/>
    <x v="1"/>
    <s v="USD"/>
    <n v="1349326800"/>
    <x v="259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999999999999"/>
    <x v="1"/>
    <n v="236"/>
    <n v="54.89"/>
    <x v="1"/>
    <s v="USD"/>
    <n v="1379566800"/>
    <x v="9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7999999999999"/>
    <x v="1"/>
    <n v="191"/>
    <n v="46.93"/>
    <x v="1"/>
    <s v="USD"/>
    <n v="1494651600"/>
    <x v="808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0000000000001"/>
    <x v="0"/>
    <n v="41"/>
    <n v="44.95"/>
    <x v="1"/>
    <s v="USD"/>
    <n v="1303880400"/>
    <x v="809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n v="3.1924000000000001"/>
    <x v="1"/>
    <n v="3934"/>
    <n v="31"/>
    <x v="1"/>
    <s v="USD"/>
    <n v="1335934800"/>
    <x v="444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3999999999997"/>
    <x v="1"/>
    <n v="80"/>
    <n v="107.76"/>
    <x v="0"/>
    <s v="CAD"/>
    <n v="1528088400"/>
    <x v="384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6"/>
    <x v="3"/>
    <n v="296"/>
    <n v="102.08"/>
    <x v="1"/>
    <s v="USD"/>
    <n v="1421906400"/>
    <x v="81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5"/>
    <x v="1"/>
    <n v="462"/>
    <n v="24.98"/>
    <x v="1"/>
    <s v="USD"/>
    <n v="1568005200"/>
    <x v="811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"/>
    <x v="1"/>
    <s v="USD"/>
    <n v="1346821200"/>
    <x v="812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19999999999998"/>
    <x v="0"/>
    <n v="523"/>
    <n v="67.95"/>
    <x v="2"/>
    <s v="AUD"/>
    <n v="1557637200"/>
    <x v="813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40000000000002"/>
    <x v="0"/>
    <n v="141"/>
    <n v="26.07"/>
    <x v="4"/>
    <s v="GBP"/>
    <n v="1375592400"/>
    <x v="814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3"/>
    <x v="1"/>
    <n v="1866"/>
    <n v="105"/>
    <x v="4"/>
    <s v="GBP"/>
    <n v="1503982800"/>
    <x v="8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9999999999999"/>
    <x v="0"/>
    <n v="52"/>
    <n v="25.83"/>
    <x v="1"/>
    <s v="USD"/>
    <n v="1418882400"/>
    <x v="815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7"/>
    <x v="4"/>
    <s v="GBP"/>
    <n v="1309237200"/>
    <x v="816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8999999999999"/>
    <x v="1"/>
    <n v="156"/>
    <n v="57.83"/>
    <x v="5"/>
    <s v="CHF"/>
    <n v="1343365200"/>
    <x v="474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6"/>
    <x v="2"/>
    <s v="AUD"/>
    <n v="1507957200"/>
    <x v="817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7000000000001"/>
    <x v="1"/>
    <n v="255"/>
    <n v="37.950000000000003"/>
    <x v="1"/>
    <s v="USD"/>
    <n v="1549519200"/>
    <x v="818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4999999999999997E-3"/>
    <x v="0"/>
    <n v="38"/>
    <n v="31.84"/>
    <x v="1"/>
    <s v="USD"/>
    <n v="1329026400"/>
    <x v="819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000000000001"/>
    <x v="1"/>
    <n v="2261"/>
    <n v="40"/>
    <x v="1"/>
    <s v="USD"/>
    <n v="1544335200"/>
    <x v="609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"/>
    <x v="1"/>
    <n v="40"/>
    <n v="101.1"/>
    <x v="1"/>
    <s v="USD"/>
    <n v="1279083600"/>
    <x v="547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4999999999996"/>
    <x v="1"/>
    <n v="2289"/>
    <n v="84.01"/>
    <x v="6"/>
    <s v="EUR"/>
    <n v="1572498000"/>
    <x v="82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999999999999"/>
    <x v="1"/>
    <n v="65"/>
    <n v="103.42"/>
    <x v="1"/>
    <s v="USD"/>
    <n v="1506056400"/>
    <x v="821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n v="0.18129999999999999"/>
    <x v="0"/>
    <n v="15"/>
    <n v="105.13"/>
    <x v="1"/>
    <s v="USD"/>
    <n v="1463029200"/>
    <x v="151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50000000000002"/>
    <x v="0"/>
    <n v="37"/>
    <n v="89.22"/>
    <x v="1"/>
    <s v="USD"/>
    <n v="1342069200"/>
    <x v="822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2"/>
    <x v="1"/>
    <n v="3777"/>
    <n v="52"/>
    <x v="6"/>
    <s v="EUR"/>
    <n v="1388296800"/>
    <x v="823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n v="2.1730999999999998"/>
    <x v="1"/>
    <n v="184"/>
    <n v="64.959999999999994"/>
    <x v="4"/>
    <s v="GBP"/>
    <n v="1493787600"/>
    <x v="824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9"/>
    <x v="1"/>
    <n v="85"/>
    <n v="46.24"/>
    <x v="1"/>
    <s v="USD"/>
    <n v="1424844000"/>
    <x v="825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9999999999996"/>
    <x v="0"/>
    <n v="112"/>
    <n v="51.15"/>
    <x v="1"/>
    <s v="USD"/>
    <n v="1403931600"/>
    <x v="826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000000000002"/>
    <x v="1"/>
    <n v="144"/>
    <n v="33.909999999999997"/>
    <x v="1"/>
    <s v="USD"/>
    <n v="1394514000"/>
    <x v="827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n v="2.3975"/>
    <x v="1"/>
    <n v="1902"/>
    <n v="92.02"/>
    <x v="1"/>
    <s v="USD"/>
    <n v="1365397200"/>
    <x v="828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999999999999"/>
    <x v="1"/>
    <n v="105"/>
    <n v="107.43"/>
    <x v="1"/>
    <s v="USD"/>
    <n v="1456120800"/>
    <x v="829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"/>
    <x v="1"/>
    <n v="132"/>
    <n v="75.849999999999994"/>
    <x v="1"/>
    <s v="USD"/>
    <n v="1437714000"/>
    <x v="83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n v="1.6400000000000001E-2"/>
    <x v="0"/>
    <n v="21"/>
    <n v="80.48"/>
    <x v="1"/>
    <s v="USD"/>
    <n v="1563771600"/>
    <x v="831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0000000000001"/>
    <x v="3"/>
    <n v="976"/>
    <n v="86.98"/>
    <x v="1"/>
    <s v="USD"/>
    <n v="1448517600"/>
    <x v="832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1"/>
    <x v="1"/>
    <n v="96"/>
    <n v="105.14"/>
    <x v="1"/>
    <s v="USD"/>
    <n v="1528779600"/>
    <x v="833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20000000000003"/>
    <x v="0"/>
    <n v="67"/>
    <n v="57.3"/>
    <x v="1"/>
    <s v="USD"/>
    <n v="1304744400"/>
    <x v="834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n v="0.62229999999999996"/>
    <x v="2"/>
    <n v="66"/>
    <n v="93.35"/>
    <x v="0"/>
    <s v="CAD"/>
    <n v="1354341600"/>
    <x v="835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9999999999999"/>
    <x v="0"/>
    <n v="78"/>
    <n v="71.989999999999995"/>
    <x v="1"/>
    <s v="USD"/>
    <n v="1294552800"/>
    <x v="836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n v="0.64639999999999997"/>
    <x v="0"/>
    <n v="67"/>
    <n v="92.61"/>
    <x v="2"/>
    <s v="AUD"/>
    <n v="1295935200"/>
    <x v="837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9000000000001"/>
    <x v="1"/>
    <n v="114"/>
    <n v="104.99"/>
    <x v="1"/>
    <s v="USD"/>
    <n v="1411534800"/>
    <x v="219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6"/>
    <x v="2"/>
    <s v="AUD"/>
    <n v="1486706400"/>
    <x v="365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0000000000002"/>
    <x v="0"/>
    <n v="1691"/>
    <n v="33"/>
    <x v="1"/>
    <s v="USD"/>
    <n v="1333602000"/>
    <x v="838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099999999999994E-2"/>
    <x v="0"/>
    <n v="181"/>
    <n v="84.19"/>
    <x v="1"/>
    <s v="USD"/>
    <n v="1308200400"/>
    <x v="839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n v="0.26690000000000003"/>
    <x v="0"/>
    <n v="13"/>
    <n v="73.92"/>
    <x v="1"/>
    <s v="USD"/>
    <n v="1411707600"/>
    <x v="84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n v="0.62960000000000005"/>
    <x v="3"/>
    <n v="160"/>
    <n v="36.99"/>
    <x v="1"/>
    <s v="USD"/>
    <n v="1418364000"/>
    <x v="841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999999999999"/>
    <x v="1"/>
    <n v="203"/>
    <n v="46.9"/>
    <x v="1"/>
    <s v="USD"/>
    <n v="1429333200"/>
    <x v="842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x v="843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n v="10.9694"/>
    <x v="1"/>
    <n v="1559"/>
    <n v="102.02"/>
    <x v="1"/>
    <s v="USD"/>
    <n v="1482732000"/>
    <x v="844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n v="0.70089999999999997"/>
    <x v="3"/>
    <n v="2266"/>
    <n v="45.01"/>
    <x v="1"/>
    <s v="USD"/>
    <n v="1470718800"/>
    <x v="845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9"/>
    <x v="1"/>
    <s v="USD"/>
    <n v="1450591200"/>
    <x v="846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999999999998"/>
    <x v="1"/>
    <n v="1548"/>
    <n v="101.02"/>
    <x v="2"/>
    <s v="AUD"/>
    <n v="1348290000"/>
    <x v="11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4"/>
    <x v="1"/>
    <s v="USD"/>
    <n v="1353823200"/>
    <x v="847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n v="0.1903"/>
    <x v="0"/>
    <n v="830"/>
    <n v="43.01"/>
    <x v="1"/>
    <s v="USD"/>
    <n v="1450764000"/>
    <x v="848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999999999999"/>
    <x v="1"/>
    <n v="131"/>
    <n v="94.92"/>
    <x v="1"/>
    <s v="USD"/>
    <n v="1329372000"/>
    <x v="849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4"/>
    <x v="1"/>
    <n v="112"/>
    <n v="72.150000000000006"/>
    <x v="1"/>
    <s v="USD"/>
    <n v="1277096400"/>
    <x v="78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699999999999998E-2"/>
    <x v="0"/>
    <n v="130"/>
    <n v="51.01"/>
    <x v="1"/>
    <s v="USD"/>
    <n v="1277701200"/>
    <x v="14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0000000000003"/>
    <x v="0"/>
    <n v="55"/>
    <n v="85.05"/>
    <x v="1"/>
    <s v="USD"/>
    <n v="1454911200"/>
    <x v="85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30000000000001"/>
    <x v="1"/>
    <n v="155"/>
    <n v="43.87"/>
    <x v="1"/>
    <s v="USD"/>
    <n v="1297922400"/>
    <x v="851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3000000000002"/>
    <x v="1"/>
    <n v="266"/>
    <n v="40.06"/>
    <x v="1"/>
    <s v="USD"/>
    <n v="1384408800"/>
    <x v="852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n v="0.84689999999999999"/>
    <x v="0"/>
    <n v="114"/>
    <n v="43.83"/>
    <x v="6"/>
    <s v="EUR"/>
    <n v="1299304800"/>
    <x v="853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7999999999999"/>
    <x v="1"/>
    <n v="155"/>
    <n v="84.93"/>
    <x v="1"/>
    <s v="USD"/>
    <n v="1431320400"/>
    <x v="854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n v="3.8641000000000001"/>
    <x v="1"/>
    <n v="207"/>
    <n v="41.07"/>
    <x v="4"/>
    <s v="GBP"/>
    <n v="1264399200"/>
    <x v="67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999999999997"/>
    <x v="1"/>
    <n v="245"/>
    <n v="54.97"/>
    <x v="1"/>
    <s v="USD"/>
    <n v="1497502800"/>
    <x v="855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000000000001"/>
    <x v="1"/>
    <n v="1573"/>
    <n v="77.010000000000005"/>
    <x v="1"/>
    <s v="USD"/>
    <n v="1333688400"/>
    <x v="107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999999999999"/>
    <x v="1"/>
    <n v="114"/>
    <n v="71.2"/>
    <x v="1"/>
    <s v="USD"/>
    <n v="1293861600"/>
    <x v="344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n v="1.0823"/>
    <x v="1"/>
    <n v="93"/>
    <n v="91.94"/>
    <x v="1"/>
    <s v="USD"/>
    <n v="1576994400"/>
    <x v="856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60000000000003"/>
    <x v="0"/>
    <n v="594"/>
    <n v="97.07"/>
    <x v="1"/>
    <s v="USD"/>
    <n v="1304917200"/>
    <x v="857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n v="0.27729999999999999"/>
    <x v="0"/>
    <n v="24"/>
    <n v="58.92"/>
    <x v="1"/>
    <s v="USD"/>
    <n v="1381208400"/>
    <x v="858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"/>
    <x v="1"/>
    <n v="1681"/>
    <n v="58.02"/>
    <x v="1"/>
    <s v="USD"/>
    <n v="1401685200"/>
    <x v="859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2"/>
    <x v="0"/>
    <n v="252"/>
    <n v="103.87"/>
    <x v="1"/>
    <s v="USD"/>
    <n v="1291960800"/>
    <x v="86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999999999999"/>
    <x v="1"/>
    <n v="32"/>
    <n v="93.47"/>
    <x v="1"/>
    <s v="USD"/>
    <n v="1368853200"/>
    <x v="17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999999999999"/>
    <x v="1"/>
    <n v="135"/>
    <n v="61.97"/>
    <x v="1"/>
    <s v="USD"/>
    <n v="1448776800"/>
    <x v="861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"/>
    <x v="1"/>
    <s v="USD"/>
    <n v="1296194400"/>
    <x v="862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60000000000004"/>
    <x v="0"/>
    <n v="67"/>
    <n v="77.27"/>
    <x v="1"/>
    <s v="USD"/>
    <n v="1517983200"/>
    <x v="863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"/>
    <x v="1"/>
    <s v="USD"/>
    <n v="1478930400"/>
    <x v="864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000000000001"/>
    <x v="1"/>
    <n v="1015"/>
    <n v="84.97"/>
    <x v="4"/>
    <s v="GBP"/>
    <n v="1426395600"/>
    <x v="527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79999999999999"/>
    <x v="0"/>
    <n v="742"/>
    <n v="105.97"/>
    <x v="1"/>
    <s v="USD"/>
    <n v="1446181200"/>
    <x v="865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"/>
    <x v="1"/>
    <n v="323"/>
    <n v="36.97"/>
    <x v="1"/>
    <s v="USD"/>
    <n v="1514181600"/>
    <x v="866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000000000005"/>
    <x v="0"/>
    <n v="75"/>
    <n v="81.53"/>
    <x v="1"/>
    <s v="USD"/>
    <n v="1311051600"/>
    <x v="867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4"/>
    <x v="1"/>
    <n v="2326"/>
    <n v="81"/>
    <x v="1"/>
    <s v="USD"/>
    <n v="1564894800"/>
    <x v="868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"/>
    <x v="1"/>
    <n v="381"/>
    <n v="26.01"/>
    <x v="1"/>
    <s v="USD"/>
    <n v="1567918800"/>
    <x v="105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n v="0.67130000000000001"/>
    <x v="0"/>
    <n v="4405"/>
    <n v="26"/>
    <x v="1"/>
    <s v="USD"/>
    <n v="1386309600"/>
    <x v="481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10000000000001"/>
    <x v="0"/>
    <n v="92"/>
    <n v="34.17"/>
    <x v="1"/>
    <s v="USD"/>
    <n v="1301979600"/>
    <x v="253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n v="2.1678999999999999"/>
    <x v="1"/>
    <n v="480"/>
    <n v="28"/>
    <x v="1"/>
    <s v="USD"/>
    <n v="1493269200"/>
    <x v="869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2"/>
    <x v="0"/>
    <n v="64"/>
    <n v="76.55"/>
    <x v="1"/>
    <s v="USD"/>
    <n v="1478930400"/>
    <x v="864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"/>
    <x v="1"/>
    <n v="226"/>
    <n v="53.05"/>
    <x v="1"/>
    <s v="USD"/>
    <n v="1555390800"/>
    <x v="843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80000000000002"/>
    <x v="0"/>
    <n v="64"/>
    <n v="106.86"/>
    <x v="1"/>
    <s v="USD"/>
    <n v="1456984800"/>
    <x v="289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6999999999999"/>
    <x v="1"/>
    <n v="241"/>
    <n v="46.02"/>
    <x v="1"/>
    <s v="USD"/>
    <n v="1411621200"/>
    <x v="87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n v="4.2655000000000003"/>
    <x v="1"/>
    <n v="132"/>
    <n v="100.17"/>
    <x v="1"/>
    <s v="USD"/>
    <n v="1525669200"/>
    <x v="871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29999999999999"/>
    <x v="3"/>
    <n v="75"/>
    <n v="101.44"/>
    <x v="6"/>
    <s v="EUR"/>
    <n v="1450936800"/>
    <x v="872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500000000000002"/>
    <x v="0"/>
    <n v="842"/>
    <n v="87.97"/>
    <x v="1"/>
    <s v="USD"/>
    <n v="1413522000"/>
    <x v="873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7"/>
    <x v="1"/>
    <n v="2043"/>
    <n v="75"/>
    <x v="1"/>
    <s v="USD"/>
    <n v="1541307600"/>
    <x v="874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40000000000005"/>
    <x v="0"/>
    <n v="112"/>
    <n v="42.98"/>
    <x v="1"/>
    <s v="USD"/>
    <n v="1357106400"/>
    <x v="875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n v="0.60570000000000002"/>
    <x v="3"/>
    <n v="139"/>
    <n v="33.119999999999997"/>
    <x v="6"/>
    <s v="EUR"/>
    <n v="1390197600"/>
    <x v="876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89999999999996"/>
    <x v="0"/>
    <n v="374"/>
    <n v="101.13"/>
    <x v="1"/>
    <s v="USD"/>
    <n v="1265868000"/>
    <x v="877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0000000000001"/>
    <x v="3"/>
    <n v="1122"/>
    <n v="55.99"/>
    <x v="1"/>
    <s v="USD"/>
    <n v="1467176400"/>
    <x v="878"/>
    <n v="1467781200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AD6DA-6082-4EDC-8CFA-D56439CDD017}" name="PivotTable1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15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015220-94AE-4485-B0B4-219EE2B34785}" name="PivotTable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multipleItemSelectionAllowed="1" showAll="0">
      <items count="8">
        <item x="2"/>
        <item x="0"/>
        <item h="1" x="5"/>
        <item h="1" x="3"/>
        <item x="4"/>
        <item h="1" x="6"/>
        <item x="1"/>
        <item t="default"/>
      </items>
    </pivotField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5">
    <chartFormat chart="0" format="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D9C95C-8D5E-4514-BFE0-A7ED716B96AB}" name="PivotTable3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"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4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74B1-70BD-419D-9C76-8039ADBA9EEA}">
  <sheetPr codeName="Sheet1"/>
  <dimension ref="A2:F15"/>
  <sheetViews>
    <sheetView zoomScaleNormal="100" workbookViewId="0">
      <selection activeCell="G17" sqref="G17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2" spans="1:6" x14ac:dyDescent="0.25">
      <c r="A2" s="6" t="s">
        <v>6</v>
      </c>
      <c r="B2" t="s">
        <v>2033</v>
      </c>
    </row>
    <row r="4" spans="1:6" x14ac:dyDescent="0.25">
      <c r="A4" s="6" t="s">
        <v>2034</v>
      </c>
      <c r="B4" s="6" t="s">
        <v>2037</v>
      </c>
    </row>
    <row r="5" spans="1:6" x14ac:dyDescent="0.25">
      <c r="A5" s="6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2036</v>
      </c>
    </row>
    <row r="6" spans="1:6" x14ac:dyDescent="0.25">
      <c r="A6" s="8" t="s">
        <v>2038</v>
      </c>
      <c r="B6" s="7">
        <v>11</v>
      </c>
      <c r="C6" s="7">
        <v>60</v>
      </c>
      <c r="D6" s="7">
        <v>5</v>
      </c>
      <c r="E6" s="7">
        <v>102</v>
      </c>
      <c r="F6" s="7">
        <v>178</v>
      </c>
    </row>
    <row r="7" spans="1:6" x14ac:dyDescent="0.25">
      <c r="A7" s="8" t="s">
        <v>2039</v>
      </c>
      <c r="B7" s="7">
        <v>4</v>
      </c>
      <c r="C7" s="7">
        <v>20</v>
      </c>
      <c r="D7" s="7"/>
      <c r="E7" s="7">
        <v>22</v>
      </c>
      <c r="F7" s="7">
        <v>46</v>
      </c>
    </row>
    <row r="8" spans="1:6" x14ac:dyDescent="0.25">
      <c r="A8" s="8" t="s">
        <v>2040</v>
      </c>
      <c r="B8" s="7">
        <v>1</v>
      </c>
      <c r="C8" s="7">
        <v>23</v>
      </c>
      <c r="D8" s="7">
        <v>3</v>
      </c>
      <c r="E8" s="7">
        <v>21</v>
      </c>
      <c r="F8" s="7">
        <v>48</v>
      </c>
    </row>
    <row r="9" spans="1:6" x14ac:dyDescent="0.25">
      <c r="A9" s="8" t="s">
        <v>2041</v>
      </c>
      <c r="B9" s="7"/>
      <c r="C9" s="7"/>
      <c r="D9" s="7"/>
      <c r="E9" s="7">
        <v>4</v>
      </c>
      <c r="F9" s="7">
        <v>4</v>
      </c>
    </row>
    <row r="10" spans="1:6" x14ac:dyDescent="0.25">
      <c r="A10" s="8" t="s">
        <v>2042</v>
      </c>
      <c r="B10" s="7">
        <v>10</v>
      </c>
      <c r="C10" s="7">
        <v>66</v>
      </c>
      <c r="D10" s="7"/>
      <c r="E10" s="7">
        <v>99</v>
      </c>
      <c r="F10" s="7">
        <v>175</v>
      </c>
    </row>
    <row r="11" spans="1:6" x14ac:dyDescent="0.25">
      <c r="A11" s="8" t="s">
        <v>2043</v>
      </c>
      <c r="B11" s="7">
        <v>4</v>
      </c>
      <c r="C11" s="7">
        <v>11</v>
      </c>
      <c r="D11" s="7">
        <v>1</v>
      </c>
      <c r="E11" s="7">
        <v>26</v>
      </c>
      <c r="F11" s="7">
        <v>42</v>
      </c>
    </row>
    <row r="12" spans="1:6" x14ac:dyDescent="0.25">
      <c r="A12" s="8" t="s">
        <v>2044</v>
      </c>
      <c r="B12" s="7">
        <v>2</v>
      </c>
      <c r="C12" s="7">
        <v>24</v>
      </c>
      <c r="D12" s="7">
        <v>1</v>
      </c>
      <c r="E12" s="7">
        <v>40</v>
      </c>
      <c r="F12" s="7">
        <v>67</v>
      </c>
    </row>
    <row r="13" spans="1:6" x14ac:dyDescent="0.25">
      <c r="A13" s="8" t="s">
        <v>2045</v>
      </c>
      <c r="B13" s="7">
        <v>2</v>
      </c>
      <c r="C13" s="7">
        <v>28</v>
      </c>
      <c r="D13" s="7">
        <v>2</v>
      </c>
      <c r="E13" s="7">
        <v>64</v>
      </c>
      <c r="F13" s="7">
        <v>96</v>
      </c>
    </row>
    <row r="14" spans="1:6" x14ac:dyDescent="0.25">
      <c r="A14" s="8" t="s">
        <v>2046</v>
      </c>
      <c r="B14" s="7">
        <v>23</v>
      </c>
      <c r="C14" s="7">
        <v>132</v>
      </c>
      <c r="D14" s="7">
        <v>2</v>
      </c>
      <c r="E14" s="7">
        <v>187</v>
      </c>
      <c r="F14" s="7">
        <v>344</v>
      </c>
    </row>
    <row r="15" spans="1:6" x14ac:dyDescent="0.25">
      <c r="A15" s="8" t="s">
        <v>2036</v>
      </c>
      <c r="B15" s="7">
        <v>57</v>
      </c>
      <c r="C15" s="7">
        <v>364</v>
      </c>
      <c r="D15" s="7">
        <v>14</v>
      </c>
      <c r="E15" s="7">
        <v>565</v>
      </c>
      <c r="F15" s="7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76172-9A2A-4E7F-91E2-D6D3D9F33A18}">
  <sheetPr codeName="Sheet2"/>
  <dimension ref="A1:F30"/>
  <sheetViews>
    <sheetView topLeftCell="B1" workbookViewId="0">
      <selection activeCell="G31" sqref="G31"/>
    </sheetView>
  </sheetViews>
  <sheetFormatPr defaultRowHeight="15.75" x14ac:dyDescent="0.25"/>
  <cols>
    <col min="1" max="1" width="16.5" bestFit="1" customWidth="1"/>
    <col min="2" max="2" width="16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6</v>
      </c>
      <c r="B1" t="s">
        <v>2086</v>
      </c>
    </row>
    <row r="2" spans="1:6" x14ac:dyDescent="0.25">
      <c r="A2" s="6" t="s">
        <v>2031</v>
      </c>
      <c r="B2" t="s">
        <v>2033</v>
      </c>
    </row>
    <row r="4" spans="1:6" x14ac:dyDescent="0.25">
      <c r="A4" s="6" t="s">
        <v>2034</v>
      </c>
      <c r="B4" s="6" t="s">
        <v>2037</v>
      </c>
    </row>
    <row r="5" spans="1:6" x14ac:dyDescent="0.25">
      <c r="A5" s="6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2036</v>
      </c>
    </row>
    <row r="6" spans="1:6" x14ac:dyDescent="0.25">
      <c r="A6" s="8" t="s">
        <v>2047</v>
      </c>
      <c r="B6" s="7">
        <v>1</v>
      </c>
      <c r="C6" s="7">
        <v>9</v>
      </c>
      <c r="D6" s="7">
        <v>2</v>
      </c>
      <c r="E6" s="7">
        <v>18</v>
      </c>
      <c r="F6" s="7">
        <v>30</v>
      </c>
    </row>
    <row r="7" spans="1:6" x14ac:dyDescent="0.25">
      <c r="A7" s="8" t="s">
        <v>2048</v>
      </c>
      <c r="B7" s="7"/>
      <c r="C7" s="7"/>
      <c r="D7" s="7"/>
      <c r="E7" s="7">
        <v>4</v>
      </c>
      <c r="F7" s="7">
        <v>4</v>
      </c>
    </row>
    <row r="8" spans="1:6" x14ac:dyDescent="0.25">
      <c r="A8" s="8" t="s">
        <v>2049</v>
      </c>
      <c r="B8" s="7">
        <v>4</v>
      </c>
      <c r="C8" s="7">
        <v>17</v>
      </c>
      <c r="D8" s="7">
        <v>1</v>
      </c>
      <c r="E8" s="7">
        <v>31</v>
      </c>
      <c r="F8" s="7">
        <v>53</v>
      </c>
    </row>
    <row r="9" spans="1:6" x14ac:dyDescent="0.25">
      <c r="A9" s="8" t="s">
        <v>2050</v>
      </c>
      <c r="B9" s="7">
        <v>2</v>
      </c>
      <c r="C9" s="7">
        <v>12</v>
      </c>
      <c r="D9" s="7">
        <v>1</v>
      </c>
      <c r="E9" s="7">
        <v>20</v>
      </c>
      <c r="F9" s="7">
        <v>35</v>
      </c>
    </row>
    <row r="10" spans="1:6" x14ac:dyDescent="0.25">
      <c r="A10" s="8" t="s">
        <v>2051</v>
      </c>
      <c r="B10" s="7"/>
      <c r="C10" s="7">
        <v>7</v>
      </c>
      <c r="D10" s="7"/>
      <c r="E10" s="7">
        <v>10</v>
      </c>
      <c r="F10" s="7">
        <v>17</v>
      </c>
    </row>
    <row r="11" spans="1:6" x14ac:dyDescent="0.25">
      <c r="A11" s="8" t="s">
        <v>2052</v>
      </c>
      <c r="B11" s="7">
        <v>1</v>
      </c>
      <c r="C11" s="7">
        <v>6</v>
      </c>
      <c r="D11" s="7"/>
      <c r="E11" s="7">
        <v>6</v>
      </c>
      <c r="F11" s="7">
        <v>13</v>
      </c>
    </row>
    <row r="12" spans="1:6" x14ac:dyDescent="0.25">
      <c r="A12" s="8" t="s">
        <v>2053</v>
      </c>
      <c r="B12" s="7">
        <v>4</v>
      </c>
      <c r="C12" s="7">
        <v>19</v>
      </c>
      <c r="D12" s="7"/>
      <c r="E12" s="7">
        <v>22</v>
      </c>
      <c r="F12" s="7">
        <v>45</v>
      </c>
    </row>
    <row r="13" spans="1:6" x14ac:dyDescent="0.25">
      <c r="A13" s="8" t="s">
        <v>2054</v>
      </c>
      <c r="B13" s="7">
        <v>1</v>
      </c>
      <c r="C13" s="7">
        <v>17</v>
      </c>
      <c r="D13" s="7"/>
      <c r="E13" s="7">
        <v>23</v>
      </c>
      <c r="F13" s="7">
        <v>41</v>
      </c>
    </row>
    <row r="14" spans="1:6" x14ac:dyDescent="0.25">
      <c r="A14" s="8" t="s">
        <v>2055</v>
      </c>
      <c r="B14" s="7">
        <v>1</v>
      </c>
      <c r="C14" s="7">
        <v>4</v>
      </c>
      <c r="D14" s="7"/>
      <c r="E14" s="7">
        <v>8</v>
      </c>
      <c r="F14" s="7">
        <v>13</v>
      </c>
    </row>
    <row r="15" spans="1:6" x14ac:dyDescent="0.25">
      <c r="A15" s="8" t="s">
        <v>2056</v>
      </c>
      <c r="B15" s="7"/>
      <c r="C15" s="7"/>
      <c r="D15" s="7"/>
      <c r="E15" s="7">
        <v>4</v>
      </c>
      <c r="F15" s="7">
        <v>4</v>
      </c>
    </row>
    <row r="16" spans="1:6" x14ac:dyDescent="0.25">
      <c r="A16" s="8" t="s">
        <v>2057</v>
      </c>
      <c r="B16" s="7"/>
      <c r="C16" s="7">
        <v>7</v>
      </c>
      <c r="D16" s="7">
        <v>1</v>
      </c>
      <c r="E16" s="7">
        <v>4</v>
      </c>
      <c r="F16" s="7">
        <v>12</v>
      </c>
    </row>
    <row r="17" spans="1:6" x14ac:dyDescent="0.25">
      <c r="A17" s="8" t="s">
        <v>2058</v>
      </c>
      <c r="B17" s="7">
        <v>1</v>
      </c>
      <c r="C17" s="7">
        <v>5</v>
      </c>
      <c r="D17" s="7">
        <v>1</v>
      </c>
      <c r="E17" s="7">
        <v>11</v>
      </c>
      <c r="F17" s="7">
        <v>18</v>
      </c>
    </row>
    <row r="18" spans="1:6" x14ac:dyDescent="0.25">
      <c r="A18" s="8" t="s">
        <v>2059</v>
      </c>
      <c r="B18" s="7">
        <v>3</v>
      </c>
      <c r="C18" s="7">
        <v>10</v>
      </c>
      <c r="D18" s="7">
        <v>1</v>
      </c>
      <c r="E18" s="7">
        <v>25</v>
      </c>
      <c r="F18" s="7">
        <v>39</v>
      </c>
    </row>
    <row r="19" spans="1:6" x14ac:dyDescent="0.25">
      <c r="A19" s="8" t="s">
        <v>2060</v>
      </c>
      <c r="B19" s="7">
        <v>19</v>
      </c>
      <c r="C19" s="7">
        <v>125</v>
      </c>
      <c r="D19" s="7">
        <v>1</v>
      </c>
      <c r="E19" s="7">
        <v>167</v>
      </c>
      <c r="F19" s="7">
        <v>312</v>
      </c>
    </row>
    <row r="20" spans="1:6" x14ac:dyDescent="0.25">
      <c r="A20" s="8" t="s">
        <v>2061</v>
      </c>
      <c r="B20" s="7"/>
      <c r="C20" s="7">
        <v>4</v>
      </c>
      <c r="D20" s="7"/>
      <c r="E20" s="7">
        <v>3</v>
      </c>
      <c r="F20" s="7">
        <v>7</v>
      </c>
    </row>
    <row r="21" spans="1:6" x14ac:dyDescent="0.25">
      <c r="A21" s="8" t="s">
        <v>2062</v>
      </c>
      <c r="B21" s="7">
        <v>5</v>
      </c>
      <c r="C21" s="7">
        <v>25</v>
      </c>
      <c r="D21" s="7"/>
      <c r="E21" s="7">
        <v>44</v>
      </c>
      <c r="F21" s="7">
        <v>74</v>
      </c>
    </row>
    <row r="22" spans="1:6" x14ac:dyDescent="0.25">
      <c r="A22" s="8" t="s">
        <v>2063</v>
      </c>
      <c r="B22" s="7"/>
      <c r="C22" s="7">
        <v>8</v>
      </c>
      <c r="D22" s="7"/>
      <c r="E22" s="7">
        <v>5</v>
      </c>
      <c r="F22" s="7">
        <v>13</v>
      </c>
    </row>
    <row r="23" spans="1:6" x14ac:dyDescent="0.25">
      <c r="A23" s="8" t="s">
        <v>2064</v>
      </c>
      <c r="B23" s="7">
        <v>1</v>
      </c>
      <c r="C23" s="7">
        <v>3</v>
      </c>
      <c r="D23" s="7">
        <v>1</v>
      </c>
      <c r="E23" s="7">
        <v>7</v>
      </c>
      <c r="F23" s="7">
        <v>12</v>
      </c>
    </row>
    <row r="24" spans="1:6" x14ac:dyDescent="0.25">
      <c r="A24" s="8" t="s">
        <v>2065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25">
      <c r="A25" s="8" t="s">
        <v>2066</v>
      </c>
      <c r="B25" s="7"/>
      <c r="C25" s="7">
        <v>6</v>
      </c>
      <c r="D25" s="7"/>
      <c r="E25" s="7">
        <v>12</v>
      </c>
      <c r="F25" s="7">
        <v>18</v>
      </c>
    </row>
    <row r="26" spans="1:6" x14ac:dyDescent="0.25">
      <c r="A26" s="8" t="s">
        <v>2067</v>
      </c>
      <c r="B26" s="7">
        <v>1</v>
      </c>
      <c r="C26" s="7">
        <v>14</v>
      </c>
      <c r="D26" s="7">
        <v>1</v>
      </c>
      <c r="E26" s="7">
        <v>14</v>
      </c>
      <c r="F26" s="7">
        <v>30</v>
      </c>
    </row>
    <row r="27" spans="1:6" x14ac:dyDescent="0.25">
      <c r="A27" s="8" t="s">
        <v>2068</v>
      </c>
      <c r="B27" s="7"/>
      <c r="C27" s="7">
        <v>15</v>
      </c>
      <c r="D27" s="7">
        <v>1</v>
      </c>
      <c r="E27" s="7">
        <v>24</v>
      </c>
      <c r="F27" s="7">
        <v>40</v>
      </c>
    </row>
    <row r="28" spans="1:6" x14ac:dyDescent="0.25">
      <c r="A28" s="8" t="s">
        <v>2069</v>
      </c>
      <c r="B28" s="7">
        <v>2</v>
      </c>
      <c r="C28" s="7">
        <v>11</v>
      </c>
      <c r="D28" s="7">
        <v>1</v>
      </c>
      <c r="E28" s="7">
        <v>34</v>
      </c>
      <c r="F28" s="7">
        <v>48</v>
      </c>
    </row>
    <row r="29" spans="1:6" x14ac:dyDescent="0.25">
      <c r="A29" s="8" t="s">
        <v>2070</v>
      </c>
      <c r="B29" s="7"/>
      <c r="C29" s="7"/>
      <c r="D29" s="7"/>
      <c r="E29" s="7">
        <v>3</v>
      </c>
      <c r="F29" s="7">
        <v>3</v>
      </c>
    </row>
    <row r="30" spans="1:6" x14ac:dyDescent="0.25">
      <c r="A30" s="8" t="s">
        <v>2036</v>
      </c>
      <c r="B30" s="7">
        <v>49</v>
      </c>
      <c r="C30" s="7">
        <v>327</v>
      </c>
      <c r="D30" s="7">
        <v>12</v>
      </c>
      <c r="E30" s="7">
        <v>510</v>
      </c>
      <c r="F30" s="7">
        <v>898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463AF-3202-4C91-8C94-997AB30A0829}">
  <sheetPr codeName="Sheet3"/>
  <dimension ref="A1:E18"/>
  <sheetViews>
    <sheetView topLeftCell="B1" workbookViewId="0">
      <selection activeCell="F20" sqref="F20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9.25" bestFit="1" customWidth="1"/>
    <col min="5" max="6" width="11" bestFit="1" customWidth="1"/>
  </cols>
  <sheetData>
    <row r="1" spans="1:5" x14ac:dyDescent="0.25">
      <c r="A1" s="6" t="s">
        <v>2031</v>
      </c>
      <c r="B1" t="s">
        <v>2033</v>
      </c>
    </row>
    <row r="2" spans="1:5" x14ac:dyDescent="0.25">
      <c r="A2" s="6" t="s">
        <v>2085</v>
      </c>
      <c r="B2" t="s">
        <v>2033</v>
      </c>
    </row>
    <row r="4" spans="1:5" x14ac:dyDescent="0.25">
      <c r="A4" s="6" t="s">
        <v>2034</v>
      </c>
      <c r="B4" s="6" t="s">
        <v>2037</v>
      </c>
    </row>
    <row r="5" spans="1:5" x14ac:dyDescent="0.25">
      <c r="A5" s="6" t="s">
        <v>2035</v>
      </c>
      <c r="B5" t="s">
        <v>74</v>
      </c>
      <c r="C5" t="s">
        <v>14</v>
      </c>
      <c r="D5" t="s">
        <v>20</v>
      </c>
      <c r="E5" t="s">
        <v>2036</v>
      </c>
    </row>
    <row r="6" spans="1:5" x14ac:dyDescent="0.25">
      <c r="A6" s="8" t="s">
        <v>2073</v>
      </c>
      <c r="B6" s="7">
        <v>6</v>
      </c>
      <c r="C6" s="7">
        <v>36</v>
      </c>
      <c r="D6" s="7">
        <v>49</v>
      </c>
      <c r="E6" s="7">
        <v>91</v>
      </c>
    </row>
    <row r="7" spans="1:5" x14ac:dyDescent="0.25">
      <c r="A7" s="8" t="s">
        <v>2074</v>
      </c>
      <c r="B7" s="7">
        <v>7</v>
      </c>
      <c r="C7" s="7">
        <v>28</v>
      </c>
      <c r="D7" s="7">
        <v>44</v>
      </c>
      <c r="E7" s="7">
        <v>79</v>
      </c>
    </row>
    <row r="8" spans="1:5" x14ac:dyDescent="0.25">
      <c r="A8" s="8" t="s">
        <v>2075</v>
      </c>
      <c r="B8" s="7">
        <v>4</v>
      </c>
      <c r="C8" s="7">
        <v>33</v>
      </c>
      <c r="D8" s="7">
        <v>49</v>
      </c>
      <c r="E8" s="7">
        <v>86</v>
      </c>
    </row>
    <row r="9" spans="1:5" x14ac:dyDescent="0.25">
      <c r="A9" s="8" t="s">
        <v>2076</v>
      </c>
      <c r="B9" s="7">
        <v>1</v>
      </c>
      <c r="C9" s="7">
        <v>30</v>
      </c>
      <c r="D9" s="7">
        <v>46</v>
      </c>
      <c r="E9" s="7">
        <v>77</v>
      </c>
    </row>
    <row r="10" spans="1:5" x14ac:dyDescent="0.25">
      <c r="A10" s="8" t="s">
        <v>2077</v>
      </c>
      <c r="B10" s="7">
        <v>3</v>
      </c>
      <c r="C10" s="7">
        <v>35</v>
      </c>
      <c r="D10" s="7">
        <v>46</v>
      </c>
      <c r="E10" s="7">
        <v>84</v>
      </c>
    </row>
    <row r="11" spans="1:5" x14ac:dyDescent="0.25">
      <c r="A11" s="8" t="s">
        <v>2078</v>
      </c>
      <c r="B11" s="7">
        <v>3</v>
      </c>
      <c r="C11" s="7">
        <v>28</v>
      </c>
      <c r="D11" s="7">
        <v>55</v>
      </c>
      <c r="E11" s="7">
        <v>86</v>
      </c>
    </row>
    <row r="12" spans="1:5" x14ac:dyDescent="0.25">
      <c r="A12" s="8" t="s">
        <v>2079</v>
      </c>
      <c r="B12" s="7">
        <v>4</v>
      </c>
      <c r="C12" s="7">
        <v>31</v>
      </c>
      <c r="D12" s="7">
        <v>58</v>
      </c>
      <c r="E12" s="7">
        <v>93</v>
      </c>
    </row>
    <row r="13" spans="1:5" x14ac:dyDescent="0.25">
      <c r="A13" s="8" t="s">
        <v>2080</v>
      </c>
      <c r="B13" s="7">
        <v>8</v>
      </c>
      <c r="C13" s="7">
        <v>35</v>
      </c>
      <c r="D13" s="7">
        <v>41</v>
      </c>
      <c r="E13" s="7">
        <v>84</v>
      </c>
    </row>
    <row r="14" spans="1:5" x14ac:dyDescent="0.25">
      <c r="A14" s="8" t="s">
        <v>2081</v>
      </c>
      <c r="B14" s="7">
        <v>5</v>
      </c>
      <c r="C14" s="7">
        <v>23</v>
      </c>
      <c r="D14" s="7">
        <v>45</v>
      </c>
      <c r="E14" s="7">
        <v>73</v>
      </c>
    </row>
    <row r="15" spans="1:5" x14ac:dyDescent="0.25">
      <c r="A15" s="8" t="s">
        <v>2082</v>
      </c>
      <c r="B15" s="7">
        <v>6</v>
      </c>
      <c r="C15" s="7">
        <v>26</v>
      </c>
      <c r="D15" s="7">
        <v>45</v>
      </c>
      <c r="E15" s="7">
        <v>77</v>
      </c>
    </row>
    <row r="16" spans="1:5" x14ac:dyDescent="0.25">
      <c r="A16" s="8" t="s">
        <v>2083</v>
      </c>
      <c r="B16" s="7">
        <v>3</v>
      </c>
      <c r="C16" s="7">
        <v>27</v>
      </c>
      <c r="D16" s="7">
        <v>45</v>
      </c>
      <c r="E16" s="7">
        <v>75</v>
      </c>
    </row>
    <row r="17" spans="1:5" x14ac:dyDescent="0.25">
      <c r="A17" s="8" t="s">
        <v>2084</v>
      </c>
      <c r="B17" s="7">
        <v>7</v>
      </c>
      <c r="C17" s="7">
        <v>32</v>
      </c>
      <c r="D17" s="7">
        <v>42</v>
      </c>
      <c r="E17" s="7">
        <v>81</v>
      </c>
    </row>
    <row r="18" spans="1:5" x14ac:dyDescent="0.25">
      <c r="A18" s="8" t="s">
        <v>2036</v>
      </c>
      <c r="B18" s="7">
        <v>57</v>
      </c>
      <c r="C18" s="7">
        <v>364</v>
      </c>
      <c r="D18" s="7">
        <v>565</v>
      </c>
      <c r="E18" s="7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1002"/>
  <sheetViews>
    <sheetView tabSelected="1" topLeftCell="C1" workbookViewId="0">
      <selection activeCell="D2" sqref="D2"/>
    </sheetView>
  </sheetViews>
  <sheetFormatPr defaultColWidth="11" defaultRowHeight="15.75" x14ac:dyDescent="0.25"/>
  <cols>
    <col min="1" max="1" width="6.5" bestFit="1" customWidth="1"/>
    <col min="2" max="2" width="30.375" bestFit="1" customWidth="1"/>
    <col min="3" max="3" width="33.625" style="3" bestFit="1" customWidth="1"/>
    <col min="4" max="4" width="8.5" bestFit="1" customWidth="1"/>
    <col min="5" max="5" width="11.75" bestFit="1" customWidth="1"/>
    <col min="6" max="6" width="18.5" bestFit="1" customWidth="1"/>
    <col min="7" max="7" width="12.5" bestFit="1" customWidth="1"/>
    <col min="8" max="8" width="17.5" bestFit="1" customWidth="1"/>
    <col min="9" max="9" width="20.5" bestFit="1" customWidth="1"/>
    <col min="10" max="10" width="11.625" bestFit="1" customWidth="1"/>
    <col min="11" max="11" width="12.375" bestFit="1" customWidth="1"/>
    <col min="12" max="12" width="15.5" bestFit="1" customWidth="1"/>
    <col min="13" max="13" width="26.375" style="9" bestFit="1" customWidth="1"/>
    <col min="14" max="14" width="12.25" bestFit="1" customWidth="1"/>
    <col min="15" max="15" width="12.25" customWidth="1"/>
    <col min="16" max="16" width="13.125" bestFit="1" customWidth="1"/>
    <col min="17" max="17" width="12.5" bestFit="1" customWidth="1"/>
    <col min="18" max="18" width="27.625" bestFit="1" customWidth="1"/>
    <col min="19" max="19" width="14.875" bestFit="1" customWidth="1"/>
    <col min="20" max="20" width="16.375" bestFit="1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0" t="s">
        <v>2071</v>
      </c>
      <c r="N1" s="1" t="s">
        <v>9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s="4">
        <f>ROUND(E2/D2,4)</f>
        <v>0</v>
      </c>
      <c r="G2" t="s">
        <v>14</v>
      </c>
      <c r="H2">
        <v>0</v>
      </c>
      <c r="I2" s="5" t="str">
        <f>IF(H2=0,"0",(ROUND(E2/H2,2)))</f>
        <v>0</v>
      </c>
      <c r="J2" t="s">
        <v>15</v>
      </c>
      <c r="K2" t="s">
        <v>16</v>
      </c>
      <c r="L2">
        <v>1448690400</v>
      </c>
      <c r="M2" s="9">
        <f>(((L2/60)/60)/24)+DATE(1970,1,1)</f>
        <v>42336.25</v>
      </c>
      <c r="N2">
        <v>1450159200</v>
      </c>
      <c r="O2" s="9">
        <f>(((N2/60)/60)/24)+DATE(1970,1,1)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_xlfn.TEXTSPLIT(R2,"/")</f>
        <v>food</v>
      </c>
      <c r="T2" t="str">
        <v>food trucks</v>
      </c>
    </row>
    <row r="3" spans="1:20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 t="shared" ref="F3:F66" si="0">ROUND(E3/D3,4)</f>
        <v>10.4</v>
      </c>
      <c r="G3" t="s">
        <v>20</v>
      </c>
      <c r="H3">
        <v>158</v>
      </c>
      <c r="I3" s="5">
        <f t="shared" ref="I3:I66" si="1">IF(H3=0,"0",(ROUND(E3/H3,2)))</f>
        <v>92.15</v>
      </c>
      <c r="J3" t="s">
        <v>21</v>
      </c>
      <c r="K3" t="s">
        <v>22</v>
      </c>
      <c r="L3">
        <v>1408424400</v>
      </c>
      <c r="M3" s="9">
        <f t="shared" ref="M3:M66" si="2">(((L3/60)/60)/24)+DATE(1970,1,1)</f>
        <v>41870.208333333336</v>
      </c>
      <c r="N3">
        <v>1408597200</v>
      </c>
      <c r="O3" s="9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_xlfn.TEXTSPLIT(R3,"/")</f>
        <v>music</v>
      </c>
      <c r="T3" t="str">
        <v>rock</v>
      </c>
    </row>
    <row r="4" spans="1:20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si="0"/>
        <v>1.3148</v>
      </c>
      <c r="G4" t="s">
        <v>20</v>
      </c>
      <c r="H4">
        <v>1425</v>
      </c>
      <c r="I4" s="5">
        <f t="shared" si="1"/>
        <v>100.02</v>
      </c>
      <c r="J4" t="s">
        <v>26</v>
      </c>
      <c r="K4" t="s">
        <v>27</v>
      </c>
      <c r="L4">
        <v>1384668000</v>
      </c>
      <c r="M4" s="9">
        <f t="shared" si="2"/>
        <v>41595.25</v>
      </c>
      <c r="N4">
        <v>1384840800</v>
      </c>
      <c r="O4" s="9">
        <f t="shared" si="3"/>
        <v>41597.25</v>
      </c>
      <c r="P4" t="b">
        <v>0</v>
      </c>
      <c r="Q4" t="b">
        <v>0</v>
      </c>
      <c r="R4" t="s">
        <v>28</v>
      </c>
      <c r="S4" t="str" cm="1">
        <f t="array" ref="S4:T4">_xlfn.TEXTSPLIT(R4,"/")</f>
        <v>technology</v>
      </c>
      <c r="T4" t="str">
        <v>web</v>
      </c>
    </row>
    <row r="5" spans="1:20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0"/>
        <v>0.58979999999999999</v>
      </c>
      <c r="G5" t="s">
        <v>14</v>
      </c>
      <c r="H5">
        <v>24</v>
      </c>
      <c r="I5" s="5">
        <f t="shared" si="1"/>
        <v>103.21</v>
      </c>
      <c r="J5" t="s">
        <v>21</v>
      </c>
      <c r="K5" t="s">
        <v>22</v>
      </c>
      <c r="L5">
        <v>1565499600</v>
      </c>
      <c r="M5" s="9">
        <f t="shared" si="2"/>
        <v>43688.208333333328</v>
      </c>
      <c r="N5">
        <v>1568955600</v>
      </c>
      <c r="O5" s="9">
        <f t="shared" si="3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_xlfn.TEXTSPLIT(R5,"/")</f>
        <v>music</v>
      </c>
      <c r="T5" t="str">
        <v>rock</v>
      </c>
    </row>
    <row r="6" spans="1:20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0"/>
        <v>0.69279999999999997</v>
      </c>
      <c r="G6" t="s">
        <v>14</v>
      </c>
      <c r="H6">
        <v>53</v>
      </c>
      <c r="I6" s="5">
        <f t="shared" si="1"/>
        <v>99.34</v>
      </c>
      <c r="J6" t="s">
        <v>21</v>
      </c>
      <c r="K6" t="s">
        <v>22</v>
      </c>
      <c r="L6">
        <v>1547964000</v>
      </c>
      <c r="M6" s="9">
        <f t="shared" si="2"/>
        <v>43485.25</v>
      </c>
      <c r="N6">
        <v>1548309600</v>
      </c>
      <c r="O6" s="9">
        <f t="shared" si="3"/>
        <v>43489.25</v>
      </c>
      <c r="P6" t="b">
        <v>0</v>
      </c>
      <c r="Q6" t="b">
        <v>0</v>
      </c>
      <c r="R6" t="s">
        <v>33</v>
      </c>
      <c r="S6" t="str" cm="1">
        <f t="array" ref="S6:T6">_xlfn.TEXTSPLIT(R6,"/")</f>
        <v>theater</v>
      </c>
      <c r="T6" t="str">
        <v>plays</v>
      </c>
    </row>
    <row r="7" spans="1:20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0"/>
        <v>1.7362</v>
      </c>
      <c r="G7" t="s">
        <v>20</v>
      </c>
      <c r="H7">
        <v>174</v>
      </c>
      <c r="I7" s="5">
        <f t="shared" si="1"/>
        <v>75.83</v>
      </c>
      <c r="J7" t="s">
        <v>36</v>
      </c>
      <c r="K7" t="s">
        <v>37</v>
      </c>
      <c r="L7">
        <v>1346130000</v>
      </c>
      <c r="M7" s="9">
        <f t="shared" si="2"/>
        <v>41149.208333333336</v>
      </c>
      <c r="N7">
        <v>1347080400</v>
      </c>
      <c r="O7" s="9">
        <f t="shared" si="3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_xlfn.TEXTSPLIT(R7,"/")</f>
        <v>theater</v>
      </c>
      <c r="T7" t="str">
        <v>plays</v>
      </c>
    </row>
    <row r="8" spans="1:20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0"/>
        <v>0.20960000000000001</v>
      </c>
      <c r="G8" t="s">
        <v>14</v>
      </c>
      <c r="H8">
        <v>18</v>
      </c>
      <c r="I8" s="5">
        <f t="shared" si="1"/>
        <v>60.56</v>
      </c>
      <c r="J8" t="s">
        <v>40</v>
      </c>
      <c r="K8" t="s">
        <v>41</v>
      </c>
      <c r="L8">
        <v>1505278800</v>
      </c>
      <c r="M8" s="9">
        <f t="shared" si="2"/>
        <v>42991.208333333328</v>
      </c>
      <c r="N8">
        <v>1505365200</v>
      </c>
      <c r="O8" s="9">
        <f t="shared" si="3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_xlfn.TEXTSPLIT(R8,"/")</f>
        <v>film &amp; video</v>
      </c>
      <c r="T8" t="str">
        <v>documentary</v>
      </c>
    </row>
    <row r="9" spans="1:20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0"/>
        <v>3.2757999999999998</v>
      </c>
      <c r="G9" t="s">
        <v>20</v>
      </c>
      <c r="H9">
        <v>227</v>
      </c>
      <c r="I9" s="5">
        <f t="shared" si="1"/>
        <v>64.94</v>
      </c>
      <c r="J9" t="s">
        <v>36</v>
      </c>
      <c r="K9" t="s">
        <v>37</v>
      </c>
      <c r="L9">
        <v>1439442000</v>
      </c>
      <c r="M9" s="9">
        <f t="shared" si="2"/>
        <v>42229.208333333328</v>
      </c>
      <c r="N9">
        <v>1439614800</v>
      </c>
      <c r="O9" s="9">
        <f t="shared" si="3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_xlfn.TEXTSPLIT(R9,"/")</f>
        <v>theater</v>
      </c>
      <c r="T9" t="str">
        <v>plays</v>
      </c>
    </row>
    <row r="10" spans="1:20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0"/>
        <v>0.1993</v>
      </c>
      <c r="G10" t="s">
        <v>47</v>
      </c>
      <c r="H10">
        <v>708</v>
      </c>
      <c r="I10" s="5">
        <f t="shared" si="1"/>
        <v>31</v>
      </c>
      <c r="J10" t="s">
        <v>36</v>
      </c>
      <c r="K10" t="s">
        <v>37</v>
      </c>
      <c r="L10">
        <v>1281330000</v>
      </c>
      <c r="M10" s="9">
        <f t="shared" si="2"/>
        <v>40399.208333333336</v>
      </c>
      <c r="N10">
        <v>1281502800</v>
      </c>
      <c r="O10" s="9">
        <f t="shared" si="3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_xlfn.TEXTSPLIT(R10,"/")</f>
        <v>theater</v>
      </c>
      <c r="T10" t="str">
        <v>plays</v>
      </c>
    </row>
    <row r="11" spans="1:20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0"/>
        <v>0.51739999999999997</v>
      </c>
      <c r="G11" t="s">
        <v>14</v>
      </c>
      <c r="H11">
        <v>44</v>
      </c>
      <c r="I11" s="5">
        <f t="shared" si="1"/>
        <v>72.91</v>
      </c>
      <c r="J11" t="s">
        <v>21</v>
      </c>
      <c r="K11" t="s">
        <v>22</v>
      </c>
      <c r="L11">
        <v>1379566800</v>
      </c>
      <c r="M11" s="9">
        <f t="shared" si="2"/>
        <v>41536.208333333336</v>
      </c>
      <c r="N11">
        <v>1383804000</v>
      </c>
      <c r="O11" s="9">
        <f t="shared" si="3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_xlfn.TEXTSPLIT(R11,"/")</f>
        <v>music</v>
      </c>
      <c r="T11" t="str">
        <v>electric music</v>
      </c>
    </row>
    <row r="12" spans="1:20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0"/>
        <v>2.6612</v>
      </c>
      <c r="G12" t="s">
        <v>20</v>
      </c>
      <c r="H12">
        <v>220</v>
      </c>
      <c r="I12" s="5">
        <f t="shared" si="1"/>
        <v>62.9</v>
      </c>
      <c r="J12" t="s">
        <v>21</v>
      </c>
      <c r="K12" t="s">
        <v>22</v>
      </c>
      <c r="L12">
        <v>1281762000</v>
      </c>
      <c r="M12" s="9">
        <f t="shared" si="2"/>
        <v>40404.208333333336</v>
      </c>
      <c r="N12">
        <v>1285909200</v>
      </c>
      <c r="O12" s="9">
        <f t="shared" si="3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_xlfn.TEXTSPLIT(R12,"/")</f>
        <v>film &amp; video</v>
      </c>
      <c r="T12" t="str">
        <v>drama</v>
      </c>
    </row>
    <row r="13" spans="1:20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0"/>
        <v>0.48099999999999998</v>
      </c>
      <c r="G13" t="s">
        <v>14</v>
      </c>
      <c r="H13">
        <v>27</v>
      </c>
      <c r="I13" s="5">
        <f t="shared" si="1"/>
        <v>112.22</v>
      </c>
      <c r="J13" t="s">
        <v>21</v>
      </c>
      <c r="K13" t="s">
        <v>22</v>
      </c>
      <c r="L13">
        <v>1285045200</v>
      </c>
      <c r="M13" s="9">
        <f t="shared" si="2"/>
        <v>40442.208333333336</v>
      </c>
      <c r="N13">
        <v>1285563600</v>
      </c>
      <c r="O13" s="9">
        <f t="shared" si="3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_xlfn.TEXTSPLIT(R13,"/")</f>
        <v>theater</v>
      </c>
      <c r="T13" t="str">
        <v>plays</v>
      </c>
    </row>
    <row r="14" spans="1:20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0"/>
        <v>0.89349999999999996</v>
      </c>
      <c r="G14" t="s">
        <v>14</v>
      </c>
      <c r="H14">
        <v>55</v>
      </c>
      <c r="I14" s="5">
        <f t="shared" si="1"/>
        <v>102.35</v>
      </c>
      <c r="J14" t="s">
        <v>21</v>
      </c>
      <c r="K14" t="s">
        <v>22</v>
      </c>
      <c r="L14">
        <v>1571720400</v>
      </c>
      <c r="M14" s="9">
        <f t="shared" si="2"/>
        <v>43760.208333333328</v>
      </c>
      <c r="N14">
        <v>1572411600</v>
      </c>
      <c r="O14" s="9">
        <f t="shared" si="3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_xlfn.TEXTSPLIT(R14,"/")</f>
        <v>film &amp; video</v>
      </c>
      <c r="T14" t="str">
        <v>drama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0"/>
        <v>2.4512</v>
      </c>
      <c r="G15" t="s">
        <v>20</v>
      </c>
      <c r="H15">
        <v>98</v>
      </c>
      <c r="I15" s="5">
        <f t="shared" si="1"/>
        <v>105.05</v>
      </c>
      <c r="J15" t="s">
        <v>21</v>
      </c>
      <c r="K15" t="s">
        <v>22</v>
      </c>
      <c r="L15">
        <v>1465621200</v>
      </c>
      <c r="M15" s="9">
        <f t="shared" si="2"/>
        <v>42532.208333333328</v>
      </c>
      <c r="N15">
        <v>1466658000</v>
      </c>
      <c r="O15" s="9">
        <f t="shared" si="3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_xlfn.TEXTSPLIT(R15,"/")</f>
        <v>music</v>
      </c>
      <c r="T15" t="str">
        <v>indie rock</v>
      </c>
    </row>
    <row r="16" spans="1:20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0"/>
        <v>0.66769999999999996</v>
      </c>
      <c r="G16" t="s">
        <v>14</v>
      </c>
      <c r="H16">
        <v>200</v>
      </c>
      <c r="I16" s="5">
        <f t="shared" si="1"/>
        <v>94.15</v>
      </c>
      <c r="J16" t="s">
        <v>21</v>
      </c>
      <c r="K16" t="s">
        <v>22</v>
      </c>
      <c r="L16">
        <v>1331013600</v>
      </c>
      <c r="M16" s="9">
        <f t="shared" si="2"/>
        <v>40974.25</v>
      </c>
      <c r="N16">
        <v>1333342800</v>
      </c>
      <c r="O16" s="9">
        <f t="shared" si="3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_xlfn.TEXTSPLIT(R16,"/")</f>
        <v>music</v>
      </c>
      <c r="T16" t="str">
        <v>indie rock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0"/>
        <v>0.47310000000000002</v>
      </c>
      <c r="G17" t="s">
        <v>14</v>
      </c>
      <c r="H17">
        <v>452</v>
      </c>
      <c r="I17" s="5">
        <f t="shared" si="1"/>
        <v>84.99</v>
      </c>
      <c r="J17" t="s">
        <v>21</v>
      </c>
      <c r="K17" t="s">
        <v>22</v>
      </c>
      <c r="L17">
        <v>1575957600</v>
      </c>
      <c r="M17" s="9">
        <f t="shared" si="2"/>
        <v>43809.25</v>
      </c>
      <c r="N17">
        <v>1576303200</v>
      </c>
      <c r="O17" s="9">
        <f t="shared" si="3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_xlfn.TEXTSPLIT(R17,"/")</f>
        <v>technology</v>
      </c>
      <c r="T17" t="str">
        <v>wearables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0"/>
        <v>6.4946999999999999</v>
      </c>
      <c r="G18" t="s">
        <v>20</v>
      </c>
      <c r="H18">
        <v>100</v>
      </c>
      <c r="I18" s="5">
        <f t="shared" si="1"/>
        <v>110.41</v>
      </c>
      <c r="J18" t="s">
        <v>21</v>
      </c>
      <c r="K18" t="s">
        <v>22</v>
      </c>
      <c r="L18">
        <v>1390370400</v>
      </c>
      <c r="M18" s="9">
        <f t="shared" si="2"/>
        <v>41661.25</v>
      </c>
      <c r="N18">
        <v>1392271200</v>
      </c>
      <c r="O18" s="9">
        <f t="shared" si="3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_xlfn.TEXTSPLIT(R18,"/")</f>
        <v>publishing</v>
      </c>
      <c r="T18" t="str">
        <v>nonfiction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0"/>
        <v>1.5939000000000001</v>
      </c>
      <c r="G19" t="s">
        <v>20</v>
      </c>
      <c r="H19">
        <v>1249</v>
      </c>
      <c r="I19" s="5">
        <f t="shared" si="1"/>
        <v>107.96</v>
      </c>
      <c r="J19" t="s">
        <v>21</v>
      </c>
      <c r="K19" t="s">
        <v>22</v>
      </c>
      <c r="L19">
        <v>1294812000</v>
      </c>
      <c r="M19" s="9">
        <f t="shared" si="2"/>
        <v>40555.25</v>
      </c>
      <c r="N19">
        <v>1294898400</v>
      </c>
      <c r="O19" s="9">
        <f t="shared" si="3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_xlfn.TEXTSPLIT(R19,"/")</f>
        <v>film &amp; video</v>
      </c>
      <c r="T19" t="str">
        <v>animation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0"/>
        <v>0.66910000000000003</v>
      </c>
      <c r="G20" t="s">
        <v>74</v>
      </c>
      <c r="H20">
        <v>135</v>
      </c>
      <c r="I20" s="5">
        <f t="shared" si="1"/>
        <v>45.1</v>
      </c>
      <c r="J20" t="s">
        <v>21</v>
      </c>
      <c r="K20" t="s">
        <v>22</v>
      </c>
      <c r="L20">
        <v>1536382800</v>
      </c>
      <c r="M20" s="9">
        <f t="shared" si="2"/>
        <v>43351.208333333328</v>
      </c>
      <c r="N20">
        <v>1537074000</v>
      </c>
      <c r="O20" s="9">
        <f t="shared" si="3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_xlfn.TEXTSPLIT(R20,"/")</f>
        <v>theater</v>
      </c>
      <c r="T20" t="str">
        <v>plays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0"/>
        <v>0.48530000000000001</v>
      </c>
      <c r="G21" t="s">
        <v>14</v>
      </c>
      <c r="H21">
        <v>674</v>
      </c>
      <c r="I21" s="5">
        <f t="shared" si="1"/>
        <v>45</v>
      </c>
      <c r="J21" t="s">
        <v>21</v>
      </c>
      <c r="K21" t="s">
        <v>22</v>
      </c>
      <c r="L21">
        <v>1551679200</v>
      </c>
      <c r="M21" s="9">
        <f t="shared" si="2"/>
        <v>43528.25</v>
      </c>
      <c r="N21">
        <v>1553490000</v>
      </c>
      <c r="O21" s="9">
        <f t="shared" si="3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_xlfn.TEXTSPLIT(R21,"/")</f>
        <v>theater</v>
      </c>
      <c r="T21" t="str">
        <v>plays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0"/>
        <v>1.1224000000000001</v>
      </c>
      <c r="G22" t="s">
        <v>20</v>
      </c>
      <c r="H22">
        <v>1396</v>
      </c>
      <c r="I22" s="5">
        <f t="shared" si="1"/>
        <v>105.97</v>
      </c>
      <c r="J22" t="s">
        <v>21</v>
      </c>
      <c r="K22" t="s">
        <v>22</v>
      </c>
      <c r="L22">
        <v>1406523600</v>
      </c>
      <c r="M22" s="9">
        <f t="shared" si="2"/>
        <v>41848.208333333336</v>
      </c>
      <c r="N22">
        <v>1406523600</v>
      </c>
      <c r="O22" s="9">
        <f t="shared" si="3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_xlfn.TEXTSPLIT(R22,"/")</f>
        <v>film &amp; video</v>
      </c>
      <c r="T22" t="str">
        <v>drama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0"/>
        <v>0.40989999999999999</v>
      </c>
      <c r="G23" t="s">
        <v>14</v>
      </c>
      <c r="H23">
        <v>558</v>
      </c>
      <c r="I23" s="5">
        <f t="shared" si="1"/>
        <v>69.06</v>
      </c>
      <c r="J23" t="s">
        <v>21</v>
      </c>
      <c r="K23" t="s">
        <v>22</v>
      </c>
      <c r="L23">
        <v>1313384400</v>
      </c>
      <c r="M23" s="9">
        <f t="shared" si="2"/>
        <v>40770.208333333336</v>
      </c>
      <c r="N23">
        <v>1316322000</v>
      </c>
      <c r="O23" s="9">
        <f t="shared" si="3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_xlfn.TEXTSPLIT(R23,"/")</f>
        <v>theater</v>
      </c>
      <c r="T23" t="str">
        <v>plays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0"/>
        <v>1.2806999999999999</v>
      </c>
      <c r="G24" t="s">
        <v>20</v>
      </c>
      <c r="H24">
        <v>890</v>
      </c>
      <c r="I24" s="5">
        <f t="shared" si="1"/>
        <v>85.04</v>
      </c>
      <c r="J24" t="s">
        <v>21</v>
      </c>
      <c r="K24" t="s">
        <v>22</v>
      </c>
      <c r="L24">
        <v>1522731600</v>
      </c>
      <c r="M24" s="9">
        <f t="shared" si="2"/>
        <v>43193.208333333328</v>
      </c>
      <c r="N24">
        <v>1524027600</v>
      </c>
      <c r="O24" s="9">
        <f t="shared" si="3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_xlfn.TEXTSPLIT(R24,"/")</f>
        <v>theater</v>
      </c>
      <c r="T24" t="str">
        <v>plays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0"/>
        <v>3.3203999999999998</v>
      </c>
      <c r="G25" t="s">
        <v>20</v>
      </c>
      <c r="H25">
        <v>142</v>
      </c>
      <c r="I25" s="5">
        <f t="shared" si="1"/>
        <v>105.23</v>
      </c>
      <c r="J25" t="s">
        <v>40</v>
      </c>
      <c r="K25" t="s">
        <v>41</v>
      </c>
      <c r="L25">
        <v>1550124000</v>
      </c>
      <c r="M25" s="9">
        <f t="shared" si="2"/>
        <v>43510.25</v>
      </c>
      <c r="N25">
        <v>1554699600</v>
      </c>
      <c r="O25" s="9">
        <f t="shared" si="3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_xlfn.TEXTSPLIT(R25,"/")</f>
        <v>film &amp; video</v>
      </c>
      <c r="T25" t="str">
        <v>documentary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0"/>
        <v>1.1283000000000001</v>
      </c>
      <c r="G26" t="s">
        <v>20</v>
      </c>
      <c r="H26">
        <v>2673</v>
      </c>
      <c r="I26" s="5">
        <f t="shared" si="1"/>
        <v>39</v>
      </c>
      <c r="J26" t="s">
        <v>21</v>
      </c>
      <c r="K26" t="s">
        <v>22</v>
      </c>
      <c r="L26">
        <v>1403326800</v>
      </c>
      <c r="M26" s="9">
        <f t="shared" si="2"/>
        <v>41811.208333333336</v>
      </c>
      <c r="N26">
        <v>1403499600</v>
      </c>
      <c r="O26" s="9">
        <f t="shared" si="3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_xlfn.TEXTSPLIT(R26,"/")</f>
        <v>technology</v>
      </c>
      <c r="T26" t="str">
        <v>wearables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0"/>
        <v>2.1644000000000001</v>
      </c>
      <c r="G27" t="s">
        <v>20</v>
      </c>
      <c r="H27">
        <v>163</v>
      </c>
      <c r="I27" s="5">
        <f t="shared" si="1"/>
        <v>73.03</v>
      </c>
      <c r="J27" t="s">
        <v>21</v>
      </c>
      <c r="K27" t="s">
        <v>22</v>
      </c>
      <c r="L27">
        <v>1305694800</v>
      </c>
      <c r="M27" s="9">
        <f t="shared" si="2"/>
        <v>40681.208333333336</v>
      </c>
      <c r="N27">
        <v>1307422800</v>
      </c>
      <c r="O27" s="9">
        <f t="shared" si="3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_xlfn.TEXTSPLIT(R27,"/")</f>
        <v>games</v>
      </c>
      <c r="T27" t="str">
        <v>video games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0"/>
        <v>0.48199999999999998</v>
      </c>
      <c r="G28" t="s">
        <v>74</v>
      </c>
      <c r="H28">
        <v>1480</v>
      </c>
      <c r="I28" s="5">
        <f t="shared" si="1"/>
        <v>35.01</v>
      </c>
      <c r="J28" t="s">
        <v>21</v>
      </c>
      <c r="K28" t="s">
        <v>22</v>
      </c>
      <c r="L28">
        <v>1533013200</v>
      </c>
      <c r="M28" s="9">
        <f t="shared" si="2"/>
        <v>43312.208333333328</v>
      </c>
      <c r="N28">
        <v>1535346000</v>
      </c>
      <c r="O28" s="9">
        <f t="shared" si="3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_xlfn.TEXTSPLIT(R28,"/")</f>
        <v>theater</v>
      </c>
      <c r="T28" t="str">
        <v>plays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0"/>
        <v>0.79949999999999999</v>
      </c>
      <c r="G29" t="s">
        <v>14</v>
      </c>
      <c r="H29">
        <v>15</v>
      </c>
      <c r="I29" s="5">
        <f t="shared" si="1"/>
        <v>106.6</v>
      </c>
      <c r="J29" t="s">
        <v>21</v>
      </c>
      <c r="K29" t="s">
        <v>22</v>
      </c>
      <c r="L29">
        <v>1443848400</v>
      </c>
      <c r="M29" s="9">
        <f t="shared" si="2"/>
        <v>42280.208333333328</v>
      </c>
      <c r="N29">
        <v>1444539600</v>
      </c>
      <c r="O29" s="9">
        <f t="shared" si="3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_xlfn.TEXTSPLIT(R29,"/")</f>
        <v>music</v>
      </c>
      <c r="T29" t="str">
        <v>rock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0"/>
        <v>1.0523</v>
      </c>
      <c r="G30" t="s">
        <v>20</v>
      </c>
      <c r="H30">
        <v>2220</v>
      </c>
      <c r="I30" s="5">
        <f t="shared" si="1"/>
        <v>62</v>
      </c>
      <c r="J30" t="s">
        <v>21</v>
      </c>
      <c r="K30" t="s">
        <v>22</v>
      </c>
      <c r="L30">
        <v>1265695200</v>
      </c>
      <c r="M30" s="9">
        <f t="shared" si="2"/>
        <v>40218.25</v>
      </c>
      <c r="N30">
        <v>1267682400</v>
      </c>
      <c r="O30" s="9">
        <f t="shared" si="3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_xlfn.TEXTSPLIT(R30,"/")</f>
        <v>theater</v>
      </c>
      <c r="T30" t="str">
        <v>plays</v>
      </c>
    </row>
    <row r="31" spans="1:20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0"/>
        <v>3.2890000000000001</v>
      </c>
      <c r="G31" t="s">
        <v>20</v>
      </c>
      <c r="H31">
        <v>1606</v>
      </c>
      <c r="I31" s="5">
        <f t="shared" si="1"/>
        <v>94</v>
      </c>
      <c r="J31" t="s">
        <v>98</v>
      </c>
      <c r="K31" t="s">
        <v>99</v>
      </c>
      <c r="L31">
        <v>1532062800</v>
      </c>
      <c r="M31" s="9">
        <f t="shared" si="2"/>
        <v>43301.208333333328</v>
      </c>
      <c r="N31">
        <v>1535518800</v>
      </c>
      <c r="O31" s="9">
        <f t="shared" si="3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_xlfn.TEXTSPLIT(R31,"/")</f>
        <v>film &amp; video</v>
      </c>
      <c r="T31" t="str">
        <v>shorts</v>
      </c>
    </row>
    <row r="32" spans="1:20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0"/>
        <v>1.6061000000000001</v>
      </c>
      <c r="G32" t="s">
        <v>20</v>
      </c>
      <c r="H32">
        <v>129</v>
      </c>
      <c r="I32" s="5">
        <f t="shared" si="1"/>
        <v>112.05</v>
      </c>
      <c r="J32" t="s">
        <v>21</v>
      </c>
      <c r="K32" t="s">
        <v>22</v>
      </c>
      <c r="L32">
        <v>1558674000</v>
      </c>
      <c r="M32" s="9">
        <f t="shared" si="2"/>
        <v>43609.208333333328</v>
      </c>
      <c r="N32">
        <v>1559106000</v>
      </c>
      <c r="O32" s="9">
        <f t="shared" si="3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_xlfn.TEXTSPLIT(R32,"/")</f>
        <v>film &amp; video</v>
      </c>
      <c r="T32" t="str">
        <v>animation</v>
      </c>
    </row>
    <row r="33" spans="1:20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0"/>
        <v>3.1</v>
      </c>
      <c r="G33" t="s">
        <v>20</v>
      </c>
      <c r="H33">
        <v>226</v>
      </c>
      <c r="I33" s="5">
        <f t="shared" si="1"/>
        <v>48.01</v>
      </c>
      <c r="J33" t="s">
        <v>40</v>
      </c>
      <c r="K33" t="s">
        <v>41</v>
      </c>
      <c r="L33">
        <v>1451973600</v>
      </c>
      <c r="M33" s="9">
        <f t="shared" si="2"/>
        <v>42374.25</v>
      </c>
      <c r="N33">
        <v>1454392800</v>
      </c>
      <c r="O33" s="9">
        <f t="shared" si="3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_xlfn.TEXTSPLIT(R33,"/")</f>
        <v>games</v>
      </c>
      <c r="T33" t="str">
        <v>video games</v>
      </c>
    </row>
    <row r="34" spans="1:20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0"/>
        <v>0.86809999999999998</v>
      </c>
      <c r="G34" t="s">
        <v>14</v>
      </c>
      <c r="H34">
        <v>2307</v>
      </c>
      <c r="I34" s="5">
        <f t="shared" si="1"/>
        <v>38</v>
      </c>
      <c r="J34" t="s">
        <v>107</v>
      </c>
      <c r="K34" t="s">
        <v>108</v>
      </c>
      <c r="L34">
        <v>1515564000</v>
      </c>
      <c r="M34" s="9">
        <f t="shared" si="2"/>
        <v>43110.25</v>
      </c>
      <c r="N34">
        <v>1517896800</v>
      </c>
      <c r="O34" s="9">
        <f t="shared" si="3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_xlfn.TEXTSPLIT(R34,"/")</f>
        <v>film &amp; video</v>
      </c>
      <c r="T34" t="str">
        <v>documentary</v>
      </c>
    </row>
    <row r="35" spans="1:20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0"/>
        <v>3.7782</v>
      </c>
      <c r="G35" t="s">
        <v>20</v>
      </c>
      <c r="H35">
        <v>5419</v>
      </c>
      <c r="I35" s="5">
        <f t="shared" si="1"/>
        <v>35</v>
      </c>
      <c r="J35" t="s">
        <v>21</v>
      </c>
      <c r="K35" t="s">
        <v>22</v>
      </c>
      <c r="L35">
        <v>1412485200</v>
      </c>
      <c r="M35" s="9">
        <f t="shared" si="2"/>
        <v>41917.208333333336</v>
      </c>
      <c r="N35">
        <v>1415685600</v>
      </c>
      <c r="O35" s="9">
        <f t="shared" si="3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_xlfn.TEXTSPLIT(R35,"/")</f>
        <v>theater</v>
      </c>
      <c r="T35" t="str">
        <v>plays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0"/>
        <v>1.5081</v>
      </c>
      <c r="G36" t="s">
        <v>20</v>
      </c>
      <c r="H36">
        <v>165</v>
      </c>
      <c r="I36" s="5">
        <f t="shared" si="1"/>
        <v>85</v>
      </c>
      <c r="J36" t="s">
        <v>21</v>
      </c>
      <c r="K36" t="s">
        <v>22</v>
      </c>
      <c r="L36">
        <v>1490245200</v>
      </c>
      <c r="M36" s="9">
        <f t="shared" si="2"/>
        <v>42817.208333333328</v>
      </c>
      <c r="N36">
        <v>1490677200</v>
      </c>
      <c r="O36" s="9">
        <f t="shared" si="3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_xlfn.TEXTSPLIT(R36,"/")</f>
        <v>film &amp; video</v>
      </c>
      <c r="T36" t="str">
        <v>documentary</v>
      </c>
    </row>
    <row r="37" spans="1:20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0"/>
        <v>1.5029999999999999</v>
      </c>
      <c r="G37" t="s">
        <v>20</v>
      </c>
      <c r="H37">
        <v>1965</v>
      </c>
      <c r="I37" s="5">
        <f t="shared" si="1"/>
        <v>95.99</v>
      </c>
      <c r="J37" t="s">
        <v>36</v>
      </c>
      <c r="K37" t="s">
        <v>37</v>
      </c>
      <c r="L37">
        <v>1547877600</v>
      </c>
      <c r="M37" s="9">
        <f t="shared" si="2"/>
        <v>43484.25</v>
      </c>
      <c r="N37">
        <v>1551506400</v>
      </c>
      <c r="O37" s="9">
        <f t="shared" si="3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_xlfn.TEXTSPLIT(R37,"/")</f>
        <v>film &amp; video</v>
      </c>
      <c r="T37" t="str">
        <v>drama</v>
      </c>
    </row>
    <row r="38" spans="1:20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0"/>
        <v>1.5729</v>
      </c>
      <c r="G38" t="s">
        <v>20</v>
      </c>
      <c r="H38">
        <v>16</v>
      </c>
      <c r="I38" s="5">
        <f t="shared" si="1"/>
        <v>68.81</v>
      </c>
      <c r="J38" t="s">
        <v>21</v>
      </c>
      <c r="K38" t="s">
        <v>22</v>
      </c>
      <c r="L38">
        <v>1298700000</v>
      </c>
      <c r="M38" s="9">
        <f t="shared" si="2"/>
        <v>40600.25</v>
      </c>
      <c r="N38">
        <v>1300856400</v>
      </c>
      <c r="O38" s="9">
        <f t="shared" si="3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_xlfn.TEXTSPLIT(R38,"/")</f>
        <v>theater</v>
      </c>
      <c r="T38" t="str">
        <v>plays</v>
      </c>
    </row>
    <row r="39" spans="1:20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0"/>
        <v>1.3998999999999999</v>
      </c>
      <c r="G39" t="s">
        <v>20</v>
      </c>
      <c r="H39">
        <v>107</v>
      </c>
      <c r="I39" s="5">
        <f t="shared" si="1"/>
        <v>105.97</v>
      </c>
      <c r="J39" t="s">
        <v>21</v>
      </c>
      <c r="K39" t="s">
        <v>22</v>
      </c>
      <c r="L39">
        <v>1570338000</v>
      </c>
      <c r="M39" s="9">
        <f t="shared" si="2"/>
        <v>43744.208333333328</v>
      </c>
      <c r="N39">
        <v>1573192800</v>
      </c>
      <c r="O39" s="9">
        <f t="shared" si="3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_xlfn.TEXTSPLIT(R39,"/")</f>
        <v>publishing</v>
      </c>
      <c r="T39" t="str">
        <v>fiction</v>
      </c>
    </row>
    <row r="40" spans="1:20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0"/>
        <v>3.2532000000000001</v>
      </c>
      <c r="G40" t="s">
        <v>20</v>
      </c>
      <c r="H40">
        <v>134</v>
      </c>
      <c r="I40" s="5">
        <f t="shared" si="1"/>
        <v>75.260000000000005</v>
      </c>
      <c r="J40" t="s">
        <v>21</v>
      </c>
      <c r="K40" t="s">
        <v>22</v>
      </c>
      <c r="L40">
        <v>1287378000</v>
      </c>
      <c r="M40" s="9">
        <f t="shared" si="2"/>
        <v>40469.208333333336</v>
      </c>
      <c r="N40">
        <v>1287810000</v>
      </c>
      <c r="O40" s="9">
        <f t="shared" si="3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_xlfn.TEXTSPLIT(R40,"/")</f>
        <v>photography</v>
      </c>
      <c r="T40" t="str">
        <v>photography books</v>
      </c>
    </row>
    <row r="41" spans="1:20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0"/>
        <v>0.50780000000000003</v>
      </c>
      <c r="G41" t="s">
        <v>14</v>
      </c>
      <c r="H41">
        <v>88</v>
      </c>
      <c r="I41" s="5">
        <f t="shared" si="1"/>
        <v>57.13</v>
      </c>
      <c r="J41" t="s">
        <v>36</v>
      </c>
      <c r="K41" t="s">
        <v>37</v>
      </c>
      <c r="L41">
        <v>1361772000</v>
      </c>
      <c r="M41" s="9">
        <f t="shared" si="2"/>
        <v>41330.25</v>
      </c>
      <c r="N41">
        <v>1362978000</v>
      </c>
      <c r="O41" s="9">
        <f t="shared" si="3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_xlfn.TEXTSPLIT(R41,"/")</f>
        <v>theater</v>
      </c>
      <c r="T41" t="str">
        <v>plays</v>
      </c>
    </row>
    <row r="42" spans="1:20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0"/>
        <v>1.6907000000000001</v>
      </c>
      <c r="G42" t="s">
        <v>20</v>
      </c>
      <c r="H42">
        <v>198</v>
      </c>
      <c r="I42" s="5">
        <f t="shared" si="1"/>
        <v>75.14</v>
      </c>
      <c r="J42" t="s">
        <v>21</v>
      </c>
      <c r="K42" t="s">
        <v>22</v>
      </c>
      <c r="L42">
        <v>1275714000</v>
      </c>
      <c r="M42" s="9">
        <f t="shared" si="2"/>
        <v>40334.208333333336</v>
      </c>
      <c r="N42">
        <v>1277355600</v>
      </c>
      <c r="O42" s="9">
        <f t="shared" si="3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_xlfn.TEXTSPLIT(R42,"/")</f>
        <v>technology</v>
      </c>
      <c r="T42" t="str">
        <v>wearables</v>
      </c>
    </row>
    <row r="43" spans="1:20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0"/>
        <v>2.1293000000000002</v>
      </c>
      <c r="G43" t="s">
        <v>20</v>
      </c>
      <c r="H43">
        <v>111</v>
      </c>
      <c r="I43" s="5">
        <f t="shared" si="1"/>
        <v>107.42</v>
      </c>
      <c r="J43" t="s">
        <v>107</v>
      </c>
      <c r="K43" t="s">
        <v>108</v>
      </c>
      <c r="L43">
        <v>1346734800</v>
      </c>
      <c r="M43" s="9">
        <f t="shared" si="2"/>
        <v>41156.208333333336</v>
      </c>
      <c r="N43">
        <v>1348981200</v>
      </c>
      <c r="O43" s="9">
        <f t="shared" si="3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_xlfn.TEXTSPLIT(R43,"/")</f>
        <v>music</v>
      </c>
      <c r="T43" t="str">
        <v>rock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0"/>
        <v>4.4394</v>
      </c>
      <c r="G44" t="s">
        <v>20</v>
      </c>
      <c r="H44">
        <v>222</v>
      </c>
      <c r="I44" s="5">
        <f t="shared" si="1"/>
        <v>36</v>
      </c>
      <c r="J44" t="s">
        <v>21</v>
      </c>
      <c r="K44" t="s">
        <v>22</v>
      </c>
      <c r="L44">
        <v>1309755600</v>
      </c>
      <c r="M44" s="9">
        <f t="shared" si="2"/>
        <v>40728.208333333336</v>
      </c>
      <c r="N44">
        <v>1310533200</v>
      </c>
      <c r="O44" s="9">
        <f t="shared" si="3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_xlfn.TEXTSPLIT(R44,"/")</f>
        <v>food</v>
      </c>
      <c r="T44" t="str">
        <v>food trucks</v>
      </c>
    </row>
    <row r="45" spans="1:20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0"/>
        <v>1.8593999999999999</v>
      </c>
      <c r="G45" t="s">
        <v>20</v>
      </c>
      <c r="H45">
        <v>6212</v>
      </c>
      <c r="I45" s="5">
        <f t="shared" si="1"/>
        <v>27</v>
      </c>
      <c r="J45" t="s">
        <v>21</v>
      </c>
      <c r="K45" t="s">
        <v>22</v>
      </c>
      <c r="L45">
        <v>1406178000</v>
      </c>
      <c r="M45" s="9">
        <f t="shared" si="2"/>
        <v>41844.208333333336</v>
      </c>
      <c r="N45">
        <v>1407560400</v>
      </c>
      <c r="O45" s="9">
        <f t="shared" si="3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_xlfn.TEXTSPLIT(R45,"/")</f>
        <v>publishing</v>
      </c>
      <c r="T45" t="str">
        <v>radio &amp; podcasts</v>
      </c>
    </row>
    <row r="46" spans="1:20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0"/>
        <v>6.5880999999999998</v>
      </c>
      <c r="G46" t="s">
        <v>20</v>
      </c>
      <c r="H46">
        <v>98</v>
      </c>
      <c r="I46" s="5">
        <f t="shared" si="1"/>
        <v>107.56</v>
      </c>
      <c r="J46" t="s">
        <v>36</v>
      </c>
      <c r="K46" t="s">
        <v>37</v>
      </c>
      <c r="L46">
        <v>1552798800</v>
      </c>
      <c r="M46" s="9">
        <f t="shared" si="2"/>
        <v>43541.208333333328</v>
      </c>
      <c r="N46">
        <v>1552885200</v>
      </c>
      <c r="O46" s="9">
        <f t="shared" si="3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_xlfn.TEXTSPLIT(R46,"/")</f>
        <v>publishing</v>
      </c>
      <c r="T46" t="str">
        <v>fiction</v>
      </c>
    </row>
    <row r="47" spans="1:20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0"/>
        <v>0.4768</v>
      </c>
      <c r="G47" t="s">
        <v>14</v>
      </c>
      <c r="H47">
        <v>48</v>
      </c>
      <c r="I47" s="5">
        <f t="shared" si="1"/>
        <v>94.38</v>
      </c>
      <c r="J47" t="s">
        <v>21</v>
      </c>
      <c r="K47" t="s">
        <v>22</v>
      </c>
      <c r="L47">
        <v>1478062800</v>
      </c>
      <c r="M47" s="9">
        <f t="shared" si="2"/>
        <v>42676.208333333328</v>
      </c>
      <c r="N47">
        <v>1479362400</v>
      </c>
      <c r="O47" s="9">
        <f t="shared" si="3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_xlfn.TEXTSPLIT(R47,"/")</f>
        <v>theater</v>
      </c>
      <c r="T47" t="str">
        <v>plays</v>
      </c>
    </row>
    <row r="48" spans="1:20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0"/>
        <v>1.1477999999999999</v>
      </c>
      <c r="G48" t="s">
        <v>20</v>
      </c>
      <c r="H48">
        <v>92</v>
      </c>
      <c r="I48" s="5">
        <f t="shared" si="1"/>
        <v>46.16</v>
      </c>
      <c r="J48" t="s">
        <v>21</v>
      </c>
      <c r="K48" t="s">
        <v>22</v>
      </c>
      <c r="L48">
        <v>1278565200</v>
      </c>
      <c r="M48" s="9">
        <f t="shared" si="2"/>
        <v>40367.208333333336</v>
      </c>
      <c r="N48">
        <v>1280552400</v>
      </c>
      <c r="O48" s="9">
        <f t="shared" si="3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_xlfn.TEXTSPLIT(R48,"/")</f>
        <v>music</v>
      </c>
      <c r="T48" t="str">
        <v>rock</v>
      </c>
    </row>
    <row r="49" spans="1:20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0"/>
        <v>4.7526999999999999</v>
      </c>
      <c r="G49" t="s">
        <v>20</v>
      </c>
      <c r="H49">
        <v>149</v>
      </c>
      <c r="I49" s="5">
        <f t="shared" si="1"/>
        <v>47.85</v>
      </c>
      <c r="J49" t="s">
        <v>21</v>
      </c>
      <c r="K49" t="s">
        <v>22</v>
      </c>
      <c r="L49">
        <v>1396069200</v>
      </c>
      <c r="M49" s="9">
        <f t="shared" si="2"/>
        <v>41727.208333333336</v>
      </c>
      <c r="N49">
        <v>1398661200</v>
      </c>
      <c r="O49" s="9">
        <f t="shared" si="3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_xlfn.TEXTSPLIT(R49,"/")</f>
        <v>theater</v>
      </c>
      <c r="T49" t="str">
        <v>plays</v>
      </c>
    </row>
    <row r="50" spans="1:20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0"/>
        <v>3.8696999999999999</v>
      </c>
      <c r="G50" t="s">
        <v>20</v>
      </c>
      <c r="H50">
        <v>2431</v>
      </c>
      <c r="I50" s="5">
        <f t="shared" si="1"/>
        <v>53.01</v>
      </c>
      <c r="J50" t="s">
        <v>21</v>
      </c>
      <c r="K50" t="s">
        <v>22</v>
      </c>
      <c r="L50">
        <v>1435208400</v>
      </c>
      <c r="M50" s="9">
        <f t="shared" si="2"/>
        <v>42180.208333333328</v>
      </c>
      <c r="N50">
        <v>1436245200</v>
      </c>
      <c r="O50" s="9">
        <f t="shared" si="3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_xlfn.TEXTSPLIT(R50,"/")</f>
        <v>theater</v>
      </c>
      <c r="T50" t="str">
        <v>plays</v>
      </c>
    </row>
    <row r="51" spans="1:20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0"/>
        <v>1.8963000000000001</v>
      </c>
      <c r="G51" t="s">
        <v>20</v>
      </c>
      <c r="H51">
        <v>303</v>
      </c>
      <c r="I51" s="5">
        <f t="shared" si="1"/>
        <v>45.06</v>
      </c>
      <c r="J51" t="s">
        <v>21</v>
      </c>
      <c r="K51" t="s">
        <v>22</v>
      </c>
      <c r="L51">
        <v>1571547600</v>
      </c>
      <c r="M51" s="9">
        <f t="shared" si="2"/>
        <v>43758.208333333328</v>
      </c>
      <c r="N51">
        <v>1575439200</v>
      </c>
      <c r="O51" s="9">
        <f t="shared" si="3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_xlfn.TEXTSPLIT(R51,"/")</f>
        <v>music</v>
      </c>
      <c r="T51" t="str">
        <v>rock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0"/>
        <v>0.02</v>
      </c>
      <c r="G52" t="s">
        <v>14</v>
      </c>
      <c r="H52">
        <v>1</v>
      </c>
      <c r="I52" s="5">
        <f t="shared" si="1"/>
        <v>2</v>
      </c>
      <c r="J52" t="s">
        <v>107</v>
      </c>
      <c r="K52" t="s">
        <v>108</v>
      </c>
      <c r="L52">
        <v>1375333200</v>
      </c>
      <c r="M52" s="9">
        <f t="shared" si="2"/>
        <v>41487.208333333336</v>
      </c>
      <c r="N52">
        <v>1377752400</v>
      </c>
      <c r="O52" s="9">
        <f t="shared" si="3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_xlfn.TEXTSPLIT(R52,"/")</f>
        <v>music</v>
      </c>
      <c r="T52" t="str">
        <v>metal</v>
      </c>
    </row>
    <row r="53" spans="1:20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0"/>
        <v>0.91869999999999996</v>
      </c>
      <c r="G53" t="s">
        <v>14</v>
      </c>
      <c r="H53">
        <v>1467</v>
      </c>
      <c r="I53" s="5">
        <f t="shared" si="1"/>
        <v>99.01</v>
      </c>
      <c r="J53" t="s">
        <v>40</v>
      </c>
      <c r="K53" t="s">
        <v>41</v>
      </c>
      <c r="L53">
        <v>1332824400</v>
      </c>
      <c r="M53" s="9">
        <f t="shared" si="2"/>
        <v>40995.208333333336</v>
      </c>
      <c r="N53">
        <v>1334206800</v>
      </c>
      <c r="O53" s="9">
        <f t="shared" si="3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_xlfn.TEXTSPLIT(R53,"/")</f>
        <v>technology</v>
      </c>
      <c r="T53" t="str">
        <v>wearables</v>
      </c>
    </row>
    <row r="54" spans="1:20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0"/>
        <v>0.34150000000000003</v>
      </c>
      <c r="G54" t="s">
        <v>14</v>
      </c>
      <c r="H54">
        <v>75</v>
      </c>
      <c r="I54" s="5">
        <f t="shared" si="1"/>
        <v>32.79</v>
      </c>
      <c r="J54" t="s">
        <v>21</v>
      </c>
      <c r="K54" t="s">
        <v>22</v>
      </c>
      <c r="L54">
        <v>1284526800</v>
      </c>
      <c r="M54" s="9">
        <f t="shared" si="2"/>
        <v>40436.208333333336</v>
      </c>
      <c r="N54">
        <v>1284872400</v>
      </c>
      <c r="O54" s="9">
        <f t="shared" si="3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_xlfn.TEXTSPLIT(R54,"/")</f>
        <v>theater</v>
      </c>
      <c r="T54" t="str">
        <v>plays</v>
      </c>
    </row>
    <row r="55" spans="1:20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0"/>
        <v>1.4040999999999999</v>
      </c>
      <c r="G55" t="s">
        <v>20</v>
      </c>
      <c r="H55">
        <v>209</v>
      </c>
      <c r="I55" s="5">
        <f t="shared" si="1"/>
        <v>59.12</v>
      </c>
      <c r="J55" t="s">
        <v>21</v>
      </c>
      <c r="K55" t="s">
        <v>22</v>
      </c>
      <c r="L55">
        <v>1400562000</v>
      </c>
      <c r="M55" s="9">
        <f t="shared" si="2"/>
        <v>41779.208333333336</v>
      </c>
      <c r="N55">
        <v>1403931600</v>
      </c>
      <c r="O55" s="9">
        <f t="shared" si="3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_xlfn.TEXTSPLIT(R55,"/")</f>
        <v>film &amp; video</v>
      </c>
      <c r="T55" t="str">
        <v>drama</v>
      </c>
    </row>
    <row r="56" spans="1:20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0"/>
        <v>0.89870000000000005</v>
      </c>
      <c r="G56" t="s">
        <v>14</v>
      </c>
      <c r="H56">
        <v>120</v>
      </c>
      <c r="I56" s="5">
        <f t="shared" si="1"/>
        <v>44.93</v>
      </c>
      <c r="J56" t="s">
        <v>21</v>
      </c>
      <c r="K56" t="s">
        <v>22</v>
      </c>
      <c r="L56">
        <v>1520748000</v>
      </c>
      <c r="M56" s="9">
        <f t="shared" si="2"/>
        <v>43170.25</v>
      </c>
      <c r="N56">
        <v>1521262800</v>
      </c>
      <c r="O56" s="9">
        <f t="shared" si="3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_xlfn.TEXTSPLIT(R56,"/")</f>
        <v>technology</v>
      </c>
      <c r="T56" t="str">
        <v>wearables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0"/>
        <v>1.7797000000000001</v>
      </c>
      <c r="G57" t="s">
        <v>20</v>
      </c>
      <c r="H57">
        <v>131</v>
      </c>
      <c r="I57" s="5">
        <f t="shared" si="1"/>
        <v>89.66</v>
      </c>
      <c r="J57" t="s">
        <v>21</v>
      </c>
      <c r="K57" t="s">
        <v>22</v>
      </c>
      <c r="L57">
        <v>1532926800</v>
      </c>
      <c r="M57" s="9">
        <f t="shared" si="2"/>
        <v>43311.208333333328</v>
      </c>
      <c r="N57">
        <v>1533358800</v>
      </c>
      <c r="O57" s="9">
        <f t="shared" si="3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_xlfn.TEXTSPLIT(R57,"/")</f>
        <v>music</v>
      </c>
      <c r="T57" t="str">
        <v>jazz</v>
      </c>
    </row>
    <row r="58" spans="1:20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0"/>
        <v>1.4366000000000001</v>
      </c>
      <c r="G58" t="s">
        <v>20</v>
      </c>
      <c r="H58">
        <v>164</v>
      </c>
      <c r="I58" s="5">
        <f t="shared" si="1"/>
        <v>70.08</v>
      </c>
      <c r="J58" t="s">
        <v>21</v>
      </c>
      <c r="K58" t="s">
        <v>22</v>
      </c>
      <c r="L58">
        <v>1420869600</v>
      </c>
      <c r="M58" s="9">
        <f t="shared" si="2"/>
        <v>42014.25</v>
      </c>
      <c r="N58">
        <v>1421474400</v>
      </c>
      <c r="O58" s="9">
        <f t="shared" si="3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_xlfn.TEXTSPLIT(R58,"/")</f>
        <v>technology</v>
      </c>
      <c r="T58" t="str">
        <v>wearables</v>
      </c>
    </row>
    <row r="59" spans="1:20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0"/>
        <v>2.1528</v>
      </c>
      <c r="G59" t="s">
        <v>20</v>
      </c>
      <c r="H59">
        <v>201</v>
      </c>
      <c r="I59" s="5">
        <f t="shared" si="1"/>
        <v>31.06</v>
      </c>
      <c r="J59" t="s">
        <v>21</v>
      </c>
      <c r="K59" t="s">
        <v>22</v>
      </c>
      <c r="L59">
        <v>1504242000</v>
      </c>
      <c r="M59" s="9">
        <f t="shared" si="2"/>
        <v>42979.208333333328</v>
      </c>
      <c r="N59">
        <v>1505278800</v>
      </c>
      <c r="O59" s="9">
        <f t="shared" si="3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_xlfn.TEXTSPLIT(R59,"/")</f>
        <v>games</v>
      </c>
      <c r="T59" t="str">
        <v>video games</v>
      </c>
    </row>
    <row r="60" spans="1:20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0"/>
        <v>2.2711000000000001</v>
      </c>
      <c r="G60" t="s">
        <v>20</v>
      </c>
      <c r="H60">
        <v>211</v>
      </c>
      <c r="I60" s="5">
        <f t="shared" si="1"/>
        <v>29.06</v>
      </c>
      <c r="J60" t="s">
        <v>21</v>
      </c>
      <c r="K60" t="s">
        <v>22</v>
      </c>
      <c r="L60">
        <v>1442811600</v>
      </c>
      <c r="M60" s="9">
        <f t="shared" si="2"/>
        <v>42268.208333333328</v>
      </c>
      <c r="N60">
        <v>1443934800</v>
      </c>
      <c r="O60" s="9">
        <f t="shared" si="3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_xlfn.TEXTSPLIT(R60,"/")</f>
        <v>theater</v>
      </c>
      <c r="T60" t="str">
        <v>plays</v>
      </c>
    </row>
    <row r="61" spans="1:20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0"/>
        <v>2.7507000000000001</v>
      </c>
      <c r="G61" t="s">
        <v>20</v>
      </c>
      <c r="H61">
        <v>128</v>
      </c>
      <c r="I61" s="5">
        <f t="shared" si="1"/>
        <v>30.09</v>
      </c>
      <c r="J61" t="s">
        <v>21</v>
      </c>
      <c r="K61" t="s">
        <v>22</v>
      </c>
      <c r="L61">
        <v>1497243600</v>
      </c>
      <c r="M61" s="9">
        <f t="shared" si="2"/>
        <v>42898.208333333328</v>
      </c>
      <c r="N61">
        <v>1498539600</v>
      </c>
      <c r="O61" s="9">
        <f t="shared" si="3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_xlfn.TEXTSPLIT(R61,"/")</f>
        <v>theater</v>
      </c>
      <c r="T61" t="str">
        <v>plays</v>
      </c>
    </row>
    <row r="62" spans="1:20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0"/>
        <v>1.4437</v>
      </c>
      <c r="G62" t="s">
        <v>20</v>
      </c>
      <c r="H62">
        <v>1600</v>
      </c>
      <c r="I62" s="5">
        <f t="shared" si="1"/>
        <v>85</v>
      </c>
      <c r="J62" t="s">
        <v>15</v>
      </c>
      <c r="K62" t="s">
        <v>16</v>
      </c>
      <c r="L62">
        <v>1342501200</v>
      </c>
      <c r="M62" s="9">
        <f t="shared" si="2"/>
        <v>41107.208333333336</v>
      </c>
      <c r="N62">
        <v>1342760400</v>
      </c>
      <c r="O62" s="9">
        <f t="shared" si="3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_xlfn.TEXTSPLIT(R62,"/")</f>
        <v>theater</v>
      </c>
      <c r="T62" t="str">
        <v>plays</v>
      </c>
    </row>
    <row r="63" spans="1:20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0"/>
        <v>0.92749999999999999</v>
      </c>
      <c r="G63" t="s">
        <v>14</v>
      </c>
      <c r="H63">
        <v>2253</v>
      </c>
      <c r="I63" s="5">
        <f t="shared" si="1"/>
        <v>82</v>
      </c>
      <c r="J63" t="s">
        <v>15</v>
      </c>
      <c r="K63" t="s">
        <v>16</v>
      </c>
      <c r="L63">
        <v>1298268000</v>
      </c>
      <c r="M63" s="9">
        <f t="shared" si="2"/>
        <v>40595.25</v>
      </c>
      <c r="N63">
        <v>1301720400</v>
      </c>
      <c r="O63" s="9">
        <f t="shared" si="3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_xlfn.TEXTSPLIT(R63,"/")</f>
        <v>theater</v>
      </c>
      <c r="T63" t="str">
        <v>plays</v>
      </c>
    </row>
    <row r="64" spans="1:20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0"/>
        <v>7.226</v>
      </c>
      <c r="G64" t="s">
        <v>20</v>
      </c>
      <c r="H64">
        <v>249</v>
      </c>
      <c r="I64" s="5">
        <f t="shared" si="1"/>
        <v>58.04</v>
      </c>
      <c r="J64" t="s">
        <v>21</v>
      </c>
      <c r="K64" t="s">
        <v>22</v>
      </c>
      <c r="L64">
        <v>1433480400</v>
      </c>
      <c r="M64" s="9">
        <f t="shared" si="2"/>
        <v>42160.208333333328</v>
      </c>
      <c r="N64">
        <v>1433566800</v>
      </c>
      <c r="O64" s="9">
        <f t="shared" si="3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_xlfn.TEXTSPLIT(R64,"/")</f>
        <v>technology</v>
      </c>
      <c r="T64" t="str">
        <v>web</v>
      </c>
    </row>
    <row r="65" spans="1:20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0"/>
        <v>0.11849999999999999</v>
      </c>
      <c r="G65" t="s">
        <v>14</v>
      </c>
      <c r="H65">
        <v>5</v>
      </c>
      <c r="I65" s="5">
        <f t="shared" si="1"/>
        <v>111.4</v>
      </c>
      <c r="J65" t="s">
        <v>21</v>
      </c>
      <c r="K65" t="s">
        <v>22</v>
      </c>
      <c r="L65">
        <v>1493355600</v>
      </c>
      <c r="M65" s="9">
        <f t="shared" si="2"/>
        <v>42853.208333333328</v>
      </c>
      <c r="N65">
        <v>1493874000</v>
      </c>
      <c r="O65" s="9">
        <f t="shared" si="3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_xlfn.TEXTSPLIT(R65,"/")</f>
        <v>theater</v>
      </c>
      <c r="T65" t="str">
        <v>plays</v>
      </c>
    </row>
    <row r="66" spans="1:20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0"/>
        <v>0.97640000000000005</v>
      </c>
      <c r="G66" t="s">
        <v>14</v>
      </c>
      <c r="H66">
        <v>38</v>
      </c>
      <c r="I66" s="5">
        <f t="shared" si="1"/>
        <v>71.95</v>
      </c>
      <c r="J66" t="s">
        <v>21</v>
      </c>
      <c r="K66" t="s">
        <v>22</v>
      </c>
      <c r="L66">
        <v>1530507600</v>
      </c>
      <c r="M66" s="9">
        <f t="shared" si="2"/>
        <v>43283.208333333328</v>
      </c>
      <c r="N66">
        <v>1531803600</v>
      </c>
      <c r="O66" s="9">
        <f t="shared" si="3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_xlfn.TEXTSPLIT(R66,"/")</f>
        <v>technology</v>
      </c>
      <c r="T66" t="str">
        <v>web</v>
      </c>
    </row>
    <row r="67" spans="1:20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ref="F67:F130" si="4">ROUND(E67/D67,4)</f>
        <v>2.3614999999999999</v>
      </c>
      <c r="G67" t="s">
        <v>20</v>
      </c>
      <c r="H67">
        <v>236</v>
      </c>
      <c r="I67" s="5">
        <f t="shared" ref="I67:I130" si="5">IF(H67=0,"0",(ROUND(E67/H67,2)))</f>
        <v>61.04</v>
      </c>
      <c r="J67" t="s">
        <v>21</v>
      </c>
      <c r="K67" t="s">
        <v>22</v>
      </c>
      <c r="L67">
        <v>1296108000</v>
      </c>
      <c r="M67" s="9">
        <f t="shared" ref="M67:M130" si="6">(((L67/60)/60)/24)+DATE(1970,1,1)</f>
        <v>40570.25</v>
      </c>
      <c r="N67">
        <v>1296712800</v>
      </c>
      <c r="O67" s="9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_xlfn.TEXTSPLIT(R67,"/")</f>
        <v>theater</v>
      </c>
      <c r="T67" t="str">
        <v>plays</v>
      </c>
    </row>
    <row r="68" spans="1:20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si="4"/>
        <v>0.45069999999999999</v>
      </c>
      <c r="G68" t="s">
        <v>14</v>
      </c>
      <c r="H68">
        <v>12</v>
      </c>
      <c r="I68" s="5">
        <f t="shared" si="5"/>
        <v>108.92</v>
      </c>
      <c r="J68" t="s">
        <v>21</v>
      </c>
      <c r="K68" t="s">
        <v>22</v>
      </c>
      <c r="L68">
        <v>1428469200</v>
      </c>
      <c r="M68" s="9">
        <f t="shared" si="6"/>
        <v>42102.208333333328</v>
      </c>
      <c r="N68">
        <v>1428901200</v>
      </c>
      <c r="O68" s="9">
        <f t="shared" si="7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_xlfn.TEXTSPLIT(R68,"/")</f>
        <v>theater</v>
      </c>
      <c r="T68" t="str">
        <v>plays</v>
      </c>
    </row>
    <row r="69" spans="1:20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4"/>
        <v>1.6238999999999999</v>
      </c>
      <c r="G69" t="s">
        <v>20</v>
      </c>
      <c r="H69">
        <v>4065</v>
      </c>
      <c r="I69" s="5">
        <f t="shared" si="5"/>
        <v>29</v>
      </c>
      <c r="J69" t="s">
        <v>40</v>
      </c>
      <c r="K69" t="s">
        <v>41</v>
      </c>
      <c r="L69">
        <v>1264399200</v>
      </c>
      <c r="M69" s="9">
        <f t="shared" si="6"/>
        <v>40203.25</v>
      </c>
      <c r="N69">
        <v>1264831200</v>
      </c>
      <c r="O69" s="9">
        <f t="shared" si="7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_xlfn.TEXTSPLIT(R69,"/")</f>
        <v>technology</v>
      </c>
      <c r="T69" t="str">
        <v>wearables</v>
      </c>
    </row>
    <row r="70" spans="1:20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4"/>
        <v>2.5453000000000001</v>
      </c>
      <c r="G70" t="s">
        <v>20</v>
      </c>
      <c r="H70">
        <v>246</v>
      </c>
      <c r="I70" s="5">
        <f t="shared" si="5"/>
        <v>58.98</v>
      </c>
      <c r="J70" t="s">
        <v>107</v>
      </c>
      <c r="K70" t="s">
        <v>108</v>
      </c>
      <c r="L70">
        <v>1501131600</v>
      </c>
      <c r="M70" s="9">
        <f t="shared" si="6"/>
        <v>42943.208333333328</v>
      </c>
      <c r="N70">
        <v>1505192400</v>
      </c>
      <c r="O70" s="9">
        <f t="shared" si="7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_xlfn.TEXTSPLIT(R70,"/")</f>
        <v>theater</v>
      </c>
      <c r="T70" t="str">
        <v>plays</v>
      </c>
    </row>
    <row r="71" spans="1:20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4"/>
        <v>0.24060000000000001</v>
      </c>
      <c r="G71" t="s">
        <v>74</v>
      </c>
      <c r="H71">
        <v>17</v>
      </c>
      <c r="I71" s="5">
        <f t="shared" si="5"/>
        <v>111.82</v>
      </c>
      <c r="J71" t="s">
        <v>21</v>
      </c>
      <c r="K71" t="s">
        <v>22</v>
      </c>
      <c r="L71">
        <v>1292738400</v>
      </c>
      <c r="M71" s="9">
        <f t="shared" si="6"/>
        <v>40531.25</v>
      </c>
      <c r="N71">
        <v>1295676000</v>
      </c>
      <c r="O71" s="9">
        <f t="shared" si="7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_xlfn.TEXTSPLIT(R71,"/")</f>
        <v>theater</v>
      </c>
      <c r="T71" t="str">
        <v>plays</v>
      </c>
    </row>
    <row r="72" spans="1:20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4"/>
        <v>1.2374000000000001</v>
      </c>
      <c r="G72" t="s">
        <v>20</v>
      </c>
      <c r="H72">
        <v>2475</v>
      </c>
      <c r="I72" s="5">
        <f t="shared" si="5"/>
        <v>64</v>
      </c>
      <c r="J72" t="s">
        <v>107</v>
      </c>
      <c r="K72" t="s">
        <v>108</v>
      </c>
      <c r="L72">
        <v>1288674000</v>
      </c>
      <c r="M72" s="9">
        <f t="shared" si="6"/>
        <v>40484.208333333336</v>
      </c>
      <c r="N72">
        <v>1292911200</v>
      </c>
      <c r="O72" s="9">
        <f t="shared" si="7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_xlfn.TEXTSPLIT(R72,"/")</f>
        <v>theater</v>
      </c>
      <c r="T72" t="str">
        <v>plays</v>
      </c>
    </row>
    <row r="73" spans="1:20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4"/>
        <v>1.0807</v>
      </c>
      <c r="G73" t="s">
        <v>20</v>
      </c>
      <c r="H73">
        <v>76</v>
      </c>
      <c r="I73" s="5">
        <f t="shared" si="5"/>
        <v>85.32</v>
      </c>
      <c r="J73" t="s">
        <v>21</v>
      </c>
      <c r="K73" t="s">
        <v>22</v>
      </c>
      <c r="L73">
        <v>1575093600</v>
      </c>
      <c r="M73" s="9">
        <f t="shared" si="6"/>
        <v>43799.25</v>
      </c>
      <c r="N73">
        <v>1575439200</v>
      </c>
      <c r="O73" s="9">
        <f t="shared" si="7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_xlfn.TEXTSPLIT(R73,"/")</f>
        <v>theater</v>
      </c>
      <c r="T73" t="str">
        <v>plays</v>
      </c>
    </row>
    <row r="74" spans="1:20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4"/>
        <v>6.7032999999999996</v>
      </c>
      <c r="G74" t="s">
        <v>20</v>
      </c>
      <c r="H74">
        <v>54</v>
      </c>
      <c r="I74" s="5">
        <f t="shared" si="5"/>
        <v>74.48</v>
      </c>
      <c r="J74" t="s">
        <v>21</v>
      </c>
      <c r="K74" t="s">
        <v>22</v>
      </c>
      <c r="L74">
        <v>1435726800</v>
      </c>
      <c r="M74" s="9">
        <f t="shared" si="6"/>
        <v>42186.208333333328</v>
      </c>
      <c r="N74">
        <v>1438837200</v>
      </c>
      <c r="O74" s="9">
        <f t="shared" si="7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_xlfn.TEXTSPLIT(R74,"/")</f>
        <v>film &amp; video</v>
      </c>
      <c r="T74" t="str">
        <v>animation</v>
      </c>
    </row>
    <row r="75" spans="1:20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4"/>
        <v>6.6093000000000002</v>
      </c>
      <c r="G75" t="s">
        <v>20</v>
      </c>
      <c r="H75">
        <v>88</v>
      </c>
      <c r="I75" s="5">
        <f t="shared" si="5"/>
        <v>105.15</v>
      </c>
      <c r="J75" t="s">
        <v>21</v>
      </c>
      <c r="K75" t="s">
        <v>22</v>
      </c>
      <c r="L75">
        <v>1480226400</v>
      </c>
      <c r="M75" s="9">
        <f t="shared" si="6"/>
        <v>42701.25</v>
      </c>
      <c r="N75">
        <v>1480485600</v>
      </c>
      <c r="O75" s="9">
        <f t="shared" si="7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_xlfn.TEXTSPLIT(R75,"/")</f>
        <v>music</v>
      </c>
      <c r="T75" t="str">
        <v>jazz</v>
      </c>
    </row>
    <row r="76" spans="1:20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4"/>
        <v>1.2245999999999999</v>
      </c>
      <c r="G76" t="s">
        <v>20</v>
      </c>
      <c r="H76">
        <v>85</v>
      </c>
      <c r="I76" s="5">
        <f t="shared" si="5"/>
        <v>56.19</v>
      </c>
      <c r="J76" t="s">
        <v>40</v>
      </c>
      <c r="K76" t="s">
        <v>41</v>
      </c>
      <c r="L76">
        <v>1459054800</v>
      </c>
      <c r="M76" s="9">
        <f t="shared" si="6"/>
        <v>42456.208333333328</v>
      </c>
      <c r="N76">
        <v>1459141200</v>
      </c>
      <c r="O76" s="9">
        <f t="shared" si="7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_xlfn.TEXTSPLIT(R76,"/")</f>
        <v>music</v>
      </c>
      <c r="T76" t="str">
        <v>metal</v>
      </c>
    </row>
    <row r="77" spans="1:20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4"/>
        <v>1.5058</v>
      </c>
      <c r="G77" t="s">
        <v>20</v>
      </c>
      <c r="H77">
        <v>170</v>
      </c>
      <c r="I77" s="5">
        <f t="shared" si="5"/>
        <v>85.92</v>
      </c>
      <c r="J77" t="s">
        <v>21</v>
      </c>
      <c r="K77" t="s">
        <v>22</v>
      </c>
      <c r="L77">
        <v>1531630800</v>
      </c>
      <c r="M77" s="9">
        <f t="shared" si="6"/>
        <v>43296.208333333328</v>
      </c>
      <c r="N77">
        <v>1532322000</v>
      </c>
      <c r="O77" s="9">
        <f t="shared" si="7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_xlfn.TEXTSPLIT(R77,"/")</f>
        <v>photography</v>
      </c>
      <c r="T77" t="str">
        <v>photography books</v>
      </c>
    </row>
    <row r="78" spans="1:20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4"/>
        <v>0.78110000000000002</v>
      </c>
      <c r="G78" t="s">
        <v>14</v>
      </c>
      <c r="H78">
        <v>1684</v>
      </c>
      <c r="I78" s="5">
        <f t="shared" si="5"/>
        <v>57</v>
      </c>
      <c r="J78" t="s">
        <v>21</v>
      </c>
      <c r="K78" t="s">
        <v>22</v>
      </c>
      <c r="L78">
        <v>1421992800</v>
      </c>
      <c r="M78" s="9">
        <f t="shared" si="6"/>
        <v>42027.25</v>
      </c>
      <c r="N78">
        <v>1426222800</v>
      </c>
      <c r="O78" s="9">
        <f t="shared" si="7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_xlfn.TEXTSPLIT(R78,"/")</f>
        <v>theater</v>
      </c>
      <c r="T78" t="str">
        <v>plays</v>
      </c>
    </row>
    <row r="79" spans="1:20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4"/>
        <v>0.46949999999999997</v>
      </c>
      <c r="G79" t="s">
        <v>14</v>
      </c>
      <c r="H79">
        <v>56</v>
      </c>
      <c r="I79" s="5">
        <f t="shared" si="5"/>
        <v>79.64</v>
      </c>
      <c r="J79" t="s">
        <v>21</v>
      </c>
      <c r="K79" t="s">
        <v>22</v>
      </c>
      <c r="L79">
        <v>1285563600</v>
      </c>
      <c r="M79" s="9">
        <f t="shared" si="6"/>
        <v>40448.208333333336</v>
      </c>
      <c r="N79">
        <v>1286773200</v>
      </c>
      <c r="O79" s="9">
        <f t="shared" si="7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_xlfn.TEXTSPLIT(R79,"/")</f>
        <v>film &amp; video</v>
      </c>
      <c r="T79" t="str">
        <v>animation</v>
      </c>
    </row>
    <row r="80" spans="1:20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4"/>
        <v>3.008</v>
      </c>
      <c r="G80" t="s">
        <v>20</v>
      </c>
      <c r="H80">
        <v>330</v>
      </c>
      <c r="I80" s="5">
        <f t="shared" si="5"/>
        <v>41.02</v>
      </c>
      <c r="J80" t="s">
        <v>21</v>
      </c>
      <c r="K80" t="s">
        <v>22</v>
      </c>
      <c r="L80">
        <v>1523854800</v>
      </c>
      <c r="M80" s="9">
        <f t="shared" si="6"/>
        <v>43206.208333333328</v>
      </c>
      <c r="N80">
        <v>1523941200</v>
      </c>
      <c r="O80" s="9">
        <f t="shared" si="7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_xlfn.TEXTSPLIT(R80,"/")</f>
        <v>publishing</v>
      </c>
      <c r="T80" t="str">
        <v>translations</v>
      </c>
    </row>
    <row r="81" spans="1:20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4"/>
        <v>0.69599999999999995</v>
      </c>
      <c r="G81" t="s">
        <v>14</v>
      </c>
      <c r="H81">
        <v>838</v>
      </c>
      <c r="I81" s="5">
        <f t="shared" si="5"/>
        <v>48</v>
      </c>
      <c r="J81" t="s">
        <v>21</v>
      </c>
      <c r="K81" t="s">
        <v>22</v>
      </c>
      <c r="L81">
        <v>1529125200</v>
      </c>
      <c r="M81" s="9">
        <f t="shared" si="6"/>
        <v>43267.208333333328</v>
      </c>
      <c r="N81">
        <v>1529557200</v>
      </c>
      <c r="O81" s="9">
        <f t="shared" si="7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_xlfn.TEXTSPLIT(R81,"/")</f>
        <v>theater</v>
      </c>
      <c r="T81" t="str">
        <v>plays</v>
      </c>
    </row>
    <row r="82" spans="1:20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4"/>
        <v>6.3745000000000003</v>
      </c>
      <c r="G82" t="s">
        <v>20</v>
      </c>
      <c r="H82">
        <v>127</v>
      </c>
      <c r="I82" s="5">
        <f t="shared" si="5"/>
        <v>55.21</v>
      </c>
      <c r="J82" t="s">
        <v>21</v>
      </c>
      <c r="K82" t="s">
        <v>22</v>
      </c>
      <c r="L82">
        <v>1503982800</v>
      </c>
      <c r="M82" s="9">
        <f t="shared" si="6"/>
        <v>42976.208333333328</v>
      </c>
      <c r="N82">
        <v>1506574800</v>
      </c>
      <c r="O82" s="9">
        <f t="shared" si="7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_xlfn.TEXTSPLIT(R82,"/")</f>
        <v>games</v>
      </c>
      <c r="T82" t="str">
        <v>video games</v>
      </c>
    </row>
    <row r="83" spans="1:20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4"/>
        <v>2.2534000000000001</v>
      </c>
      <c r="G83" t="s">
        <v>20</v>
      </c>
      <c r="H83">
        <v>411</v>
      </c>
      <c r="I83" s="5">
        <f t="shared" si="5"/>
        <v>92.11</v>
      </c>
      <c r="J83" t="s">
        <v>21</v>
      </c>
      <c r="K83" t="s">
        <v>22</v>
      </c>
      <c r="L83">
        <v>1511416800</v>
      </c>
      <c r="M83" s="9">
        <f t="shared" si="6"/>
        <v>43062.25</v>
      </c>
      <c r="N83">
        <v>1513576800</v>
      </c>
      <c r="O83" s="9">
        <f t="shared" si="7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_xlfn.TEXTSPLIT(R83,"/")</f>
        <v>music</v>
      </c>
      <c r="T83" t="str">
        <v>rock</v>
      </c>
    </row>
    <row r="84" spans="1:20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4"/>
        <v>14.973000000000001</v>
      </c>
      <c r="G84" t="s">
        <v>20</v>
      </c>
      <c r="H84">
        <v>180</v>
      </c>
      <c r="I84" s="5">
        <f t="shared" si="5"/>
        <v>83.18</v>
      </c>
      <c r="J84" t="s">
        <v>40</v>
      </c>
      <c r="K84" t="s">
        <v>41</v>
      </c>
      <c r="L84">
        <v>1547704800</v>
      </c>
      <c r="M84" s="9">
        <f t="shared" si="6"/>
        <v>43482.25</v>
      </c>
      <c r="N84">
        <v>1548309600</v>
      </c>
      <c r="O84" s="9">
        <f t="shared" si="7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_xlfn.TEXTSPLIT(R84,"/")</f>
        <v>games</v>
      </c>
      <c r="T84" t="str">
        <v>video games</v>
      </c>
    </row>
    <row r="85" spans="1:20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4"/>
        <v>0.37590000000000001</v>
      </c>
      <c r="G85" t="s">
        <v>14</v>
      </c>
      <c r="H85">
        <v>1000</v>
      </c>
      <c r="I85" s="5">
        <f t="shared" si="5"/>
        <v>40</v>
      </c>
      <c r="J85" t="s">
        <v>21</v>
      </c>
      <c r="K85" t="s">
        <v>22</v>
      </c>
      <c r="L85">
        <v>1469682000</v>
      </c>
      <c r="M85" s="9">
        <f t="shared" si="6"/>
        <v>42579.208333333328</v>
      </c>
      <c r="N85">
        <v>1471582800</v>
      </c>
      <c r="O85" s="9">
        <f t="shared" si="7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_xlfn.TEXTSPLIT(R85,"/")</f>
        <v>music</v>
      </c>
      <c r="T85" t="str">
        <v>electric music</v>
      </c>
    </row>
    <row r="86" spans="1:20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4"/>
        <v>1.3237000000000001</v>
      </c>
      <c r="G86" t="s">
        <v>20</v>
      </c>
      <c r="H86">
        <v>374</v>
      </c>
      <c r="I86" s="5">
        <f t="shared" si="5"/>
        <v>111.13</v>
      </c>
      <c r="J86" t="s">
        <v>21</v>
      </c>
      <c r="K86" t="s">
        <v>22</v>
      </c>
      <c r="L86">
        <v>1343451600</v>
      </c>
      <c r="M86" s="9">
        <f t="shared" si="6"/>
        <v>41118.208333333336</v>
      </c>
      <c r="N86">
        <v>1344315600</v>
      </c>
      <c r="O86" s="9">
        <f t="shared" si="7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_xlfn.TEXTSPLIT(R86,"/")</f>
        <v>technology</v>
      </c>
      <c r="T86" t="str">
        <v>wearables</v>
      </c>
    </row>
    <row r="87" spans="1:20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4"/>
        <v>1.3122</v>
      </c>
      <c r="G87" t="s">
        <v>20</v>
      </c>
      <c r="H87">
        <v>71</v>
      </c>
      <c r="I87" s="5">
        <f t="shared" si="5"/>
        <v>90.56</v>
      </c>
      <c r="J87" t="s">
        <v>26</v>
      </c>
      <c r="K87" t="s">
        <v>27</v>
      </c>
      <c r="L87">
        <v>1315717200</v>
      </c>
      <c r="M87" s="9">
        <f t="shared" si="6"/>
        <v>40797.208333333336</v>
      </c>
      <c r="N87">
        <v>1316408400</v>
      </c>
      <c r="O87" s="9">
        <f t="shared" si="7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_xlfn.TEXTSPLIT(R87,"/")</f>
        <v>music</v>
      </c>
      <c r="T87" t="str">
        <v>indie rock</v>
      </c>
    </row>
    <row r="88" spans="1:20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4"/>
        <v>1.6763999999999999</v>
      </c>
      <c r="G88" t="s">
        <v>20</v>
      </c>
      <c r="H88">
        <v>203</v>
      </c>
      <c r="I88" s="5">
        <f t="shared" si="5"/>
        <v>61.11</v>
      </c>
      <c r="J88" t="s">
        <v>21</v>
      </c>
      <c r="K88" t="s">
        <v>22</v>
      </c>
      <c r="L88">
        <v>1430715600</v>
      </c>
      <c r="M88" s="9">
        <f t="shared" si="6"/>
        <v>42128.208333333328</v>
      </c>
      <c r="N88">
        <v>1431838800</v>
      </c>
      <c r="O88" s="9">
        <f t="shared" si="7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_xlfn.TEXTSPLIT(R88,"/")</f>
        <v>theater</v>
      </c>
      <c r="T88" t="str">
        <v>plays</v>
      </c>
    </row>
    <row r="89" spans="1:20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4"/>
        <v>0.61980000000000002</v>
      </c>
      <c r="G89" t="s">
        <v>14</v>
      </c>
      <c r="H89">
        <v>1482</v>
      </c>
      <c r="I89" s="5">
        <f t="shared" si="5"/>
        <v>83.02</v>
      </c>
      <c r="J89" t="s">
        <v>26</v>
      </c>
      <c r="K89" t="s">
        <v>27</v>
      </c>
      <c r="L89">
        <v>1299564000</v>
      </c>
      <c r="M89" s="9">
        <f t="shared" si="6"/>
        <v>40610.25</v>
      </c>
      <c r="N89">
        <v>1300510800</v>
      </c>
      <c r="O89" s="9">
        <f t="shared" si="7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_xlfn.TEXTSPLIT(R89,"/")</f>
        <v>music</v>
      </c>
      <c r="T89" t="str">
        <v>rock</v>
      </c>
    </row>
    <row r="90" spans="1:20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4"/>
        <v>2.6074999999999999</v>
      </c>
      <c r="G90" t="s">
        <v>20</v>
      </c>
      <c r="H90">
        <v>113</v>
      </c>
      <c r="I90" s="5">
        <f t="shared" si="5"/>
        <v>110.76</v>
      </c>
      <c r="J90" t="s">
        <v>21</v>
      </c>
      <c r="K90" t="s">
        <v>22</v>
      </c>
      <c r="L90">
        <v>1429160400</v>
      </c>
      <c r="M90" s="9">
        <f t="shared" si="6"/>
        <v>42110.208333333328</v>
      </c>
      <c r="N90">
        <v>1431061200</v>
      </c>
      <c r="O90" s="9">
        <f t="shared" si="7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_xlfn.TEXTSPLIT(R90,"/")</f>
        <v>publishing</v>
      </c>
      <c r="T90" t="str">
        <v>translations</v>
      </c>
    </row>
    <row r="91" spans="1:20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4"/>
        <v>2.5259</v>
      </c>
      <c r="G91" t="s">
        <v>20</v>
      </c>
      <c r="H91">
        <v>96</v>
      </c>
      <c r="I91" s="5">
        <f t="shared" si="5"/>
        <v>89.46</v>
      </c>
      <c r="J91" t="s">
        <v>21</v>
      </c>
      <c r="K91" t="s">
        <v>22</v>
      </c>
      <c r="L91">
        <v>1271307600</v>
      </c>
      <c r="M91" s="9">
        <f t="shared" si="6"/>
        <v>40283.208333333336</v>
      </c>
      <c r="N91">
        <v>1271480400</v>
      </c>
      <c r="O91" s="9">
        <f t="shared" si="7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_xlfn.TEXTSPLIT(R91,"/")</f>
        <v>theater</v>
      </c>
      <c r="T91" t="str">
        <v>plays</v>
      </c>
    </row>
    <row r="92" spans="1:20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4"/>
        <v>0.78620000000000001</v>
      </c>
      <c r="G92" t="s">
        <v>14</v>
      </c>
      <c r="H92">
        <v>106</v>
      </c>
      <c r="I92" s="5">
        <f t="shared" si="5"/>
        <v>57.85</v>
      </c>
      <c r="J92" t="s">
        <v>21</v>
      </c>
      <c r="K92" t="s">
        <v>22</v>
      </c>
      <c r="L92">
        <v>1456380000</v>
      </c>
      <c r="M92" s="9">
        <f t="shared" si="6"/>
        <v>42425.25</v>
      </c>
      <c r="N92">
        <v>1456380000</v>
      </c>
      <c r="O92" s="9">
        <f t="shared" si="7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_xlfn.TEXTSPLIT(R92,"/")</f>
        <v>theater</v>
      </c>
      <c r="T92" t="str">
        <v>plays</v>
      </c>
    </row>
    <row r="93" spans="1:20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4"/>
        <v>0.48399999999999999</v>
      </c>
      <c r="G93" t="s">
        <v>14</v>
      </c>
      <c r="H93">
        <v>679</v>
      </c>
      <c r="I93" s="5">
        <f t="shared" si="5"/>
        <v>110</v>
      </c>
      <c r="J93" t="s">
        <v>107</v>
      </c>
      <c r="K93" t="s">
        <v>108</v>
      </c>
      <c r="L93">
        <v>1470459600</v>
      </c>
      <c r="M93" s="9">
        <f t="shared" si="6"/>
        <v>42588.208333333328</v>
      </c>
      <c r="N93">
        <v>1472878800</v>
      </c>
      <c r="O93" s="9">
        <f t="shared" si="7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_xlfn.TEXTSPLIT(R93,"/")</f>
        <v>publishing</v>
      </c>
      <c r="T93" t="str">
        <v>translations</v>
      </c>
    </row>
    <row r="94" spans="1:20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4"/>
        <v>2.5888</v>
      </c>
      <c r="G94" t="s">
        <v>20</v>
      </c>
      <c r="H94">
        <v>498</v>
      </c>
      <c r="I94" s="5">
        <f t="shared" si="5"/>
        <v>103.97</v>
      </c>
      <c r="J94" t="s">
        <v>98</v>
      </c>
      <c r="K94" t="s">
        <v>99</v>
      </c>
      <c r="L94">
        <v>1277269200</v>
      </c>
      <c r="M94" s="9">
        <f t="shared" si="6"/>
        <v>40352.208333333336</v>
      </c>
      <c r="N94">
        <v>1277355600</v>
      </c>
      <c r="O94" s="9">
        <f t="shared" si="7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_xlfn.TEXTSPLIT(R94,"/")</f>
        <v>games</v>
      </c>
      <c r="T94" t="str">
        <v>video games</v>
      </c>
    </row>
    <row r="95" spans="1:20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4"/>
        <v>0.60550000000000004</v>
      </c>
      <c r="G95" t="s">
        <v>74</v>
      </c>
      <c r="H95">
        <v>610</v>
      </c>
      <c r="I95" s="5">
        <f t="shared" si="5"/>
        <v>108</v>
      </c>
      <c r="J95" t="s">
        <v>21</v>
      </c>
      <c r="K95" t="s">
        <v>22</v>
      </c>
      <c r="L95">
        <v>1350709200</v>
      </c>
      <c r="M95" s="9">
        <f t="shared" si="6"/>
        <v>41202.208333333336</v>
      </c>
      <c r="N95">
        <v>1351054800</v>
      </c>
      <c r="O95" s="9">
        <f t="shared" si="7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_xlfn.TEXTSPLIT(R95,"/")</f>
        <v>theater</v>
      </c>
      <c r="T95" t="str">
        <v>plays</v>
      </c>
    </row>
    <row r="96" spans="1:20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4"/>
        <v>3.0369000000000002</v>
      </c>
      <c r="G96" t="s">
        <v>20</v>
      </c>
      <c r="H96">
        <v>180</v>
      </c>
      <c r="I96" s="5">
        <f t="shared" si="5"/>
        <v>48.93</v>
      </c>
      <c r="J96" t="s">
        <v>40</v>
      </c>
      <c r="K96" t="s">
        <v>41</v>
      </c>
      <c r="L96">
        <v>1554613200</v>
      </c>
      <c r="M96" s="9">
        <f t="shared" si="6"/>
        <v>43562.208333333328</v>
      </c>
      <c r="N96">
        <v>1555563600</v>
      </c>
      <c r="O96" s="9">
        <f t="shared" si="7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_xlfn.TEXTSPLIT(R96,"/")</f>
        <v>technology</v>
      </c>
      <c r="T96" t="str">
        <v>web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4"/>
        <v>1.1299999999999999</v>
      </c>
      <c r="G97" t="s">
        <v>20</v>
      </c>
      <c r="H97">
        <v>27</v>
      </c>
      <c r="I97" s="5">
        <f t="shared" si="5"/>
        <v>37.67</v>
      </c>
      <c r="J97" t="s">
        <v>21</v>
      </c>
      <c r="K97" t="s">
        <v>22</v>
      </c>
      <c r="L97">
        <v>1571029200</v>
      </c>
      <c r="M97" s="9">
        <f t="shared" si="6"/>
        <v>43752.208333333328</v>
      </c>
      <c r="N97">
        <v>1571634000</v>
      </c>
      <c r="O97" s="9">
        <f t="shared" si="7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_xlfn.TEXTSPLIT(R97,"/")</f>
        <v>film &amp; video</v>
      </c>
      <c r="T97" t="str">
        <v>documentary</v>
      </c>
    </row>
    <row r="98" spans="1:20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4"/>
        <v>2.1738</v>
      </c>
      <c r="G98" t="s">
        <v>20</v>
      </c>
      <c r="H98">
        <v>2331</v>
      </c>
      <c r="I98" s="5">
        <f t="shared" si="5"/>
        <v>65</v>
      </c>
      <c r="J98" t="s">
        <v>21</v>
      </c>
      <c r="K98" t="s">
        <v>22</v>
      </c>
      <c r="L98">
        <v>1299736800</v>
      </c>
      <c r="M98" s="9">
        <f t="shared" si="6"/>
        <v>40612.25</v>
      </c>
      <c r="N98">
        <v>1300856400</v>
      </c>
      <c r="O98" s="9">
        <f t="shared" si="7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_xlfn.TEXTSPLIT(R98,"/")</f>
        <v>theater</v>
      </c>
      <c r="T98" t="str">
        <v>plays</v>
      </c>
    </row>
    <row r="99" spans="1:20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4"/>
        <v>9.2668999999999997</v>
      </c>
      <c r="G99" t="s">
        <v>20</v>
      </c>
      <c r="H99">
        <v>113</v>
      </c>
      <c r="I99" s="5">
        <f t="shared" si="5"/>
        <v>106.61</v>
      </c>
      <c r="J99" t="s">
        <v>21</v>
      </c>
      <c r="K99" t="s">
        <v>22</v>
      </c>
      <c r="L99">
        <v>1435208400</v>
      </c>
      <c r="M99" s="9">
        <f t="shared" si="6"/>
        <v>42180.208333333328</v>
      </c>
      <c r="N99">
        <v>1439874000</v>
      </c>
      <c r="O99" s="9">
        <f t="shared" si="7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_xlfn.TEXTSPLIT(R99,"/")</f>
        <v>food</v>
      </c>
      <c r="T99" t="str">
        <v>food trucks</v>
      </c>
    </row>
    <row r="100" spans="1:20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4"/>
        <v>0.33689999999999998</v>
      </c>
      <c r="G100" t="s">
        <v>14</v>
      </c>
      <c r="H100">
        <v>1220</v>
      </c>
      <c r="I100" s="5">
        <f t="shared" si="5"/>
        <v>27.01</v>
      </c>
      <c r="J100" t="s">
        <v>26</v>
      </c>
      <c r="K100" t="s">
        <v>27</v>
      </c>
      <c r="L100">
        <v>1437973200</v>
      </c>
      <c r="M100" s="9">
        <f t="shared" si="6"/>
        <v>42212.208333333328</v>
      </c>
      <c r="N100">
        <v>1438318800</v>
      </c>
      <c r="O100" s="9">
        <f t="shared" si="7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_xlfn.TEXTSPLIT(R100,"/")</f>
        <v>games</v>
      </c>
      <c r="T100" t="str">
        <v>video games</v>
      </c>
    </row>
    <row r="101" spans="1:20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4"/>
        <v>1.9672000000000001</v>
      </c>
      <c r="G101" t="s">
        <v>20</v>
      </c>
      <c r="H101">
        <v>164</v>
      </c>
      <c r="I101" s="5">
        <f t="shared" si="5"/>
        <v>91.16</v>
      </c>
      <c r="J101" t="s">
        <v>21</v>
      </c>
      <c r="K101" t="s">
        <v>22</v>
      </c>
      <c r="L101">
        <v>1416895200</v>
      </c>
      <c r="M101" s="9">
        <f t="shared" si="6"/>
        <v>41968.25</v>
      </c>
      <c r="N101">
        <v>1419400800</v>
      </c>
      <c r="O101" s="9">
        <f t="shared" si="7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_xlfn.TEXTSPLIT(R101,"/")</f>
        <v>theater</v>
      </c>
      <c r="T101" t="str">
        <v>plays</v>
      </c>
    </row>
    <row r="102" spans="1:20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4"/>
        <v>0.01</v>
      </c>
      <c r="G102" t="s">
        <v>14</v>
      </c>
      <c r="H102">
        <v>1</v>
      </c>
      <c r="I102" s="5">
        <f t="shared" si="5"/>
        <v>1</v>
      </c>
      <c r="J102" t="s">
        <v>21</v>
      </c>
      <c r="K102" t="s">
        <v>22</v>
      </c>
      <c r="L102">
        <v>1319000400</v>
      </c>
      <c r="M102" s="9">
        <f t="shared" si="6"/>
        <v>40835.208333333336</v>
      </c>
      <c r="N102">
        <v>1320555600</v>
      </c>
      <c r="O102" s="9">
        <f t="shared" si="7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_xlfn.TEXTSPLIT(R102,"/")</f>
        <v>theater</v>
      </c>
      <c r="T102" t="str">
        <v>plays</v>
      </c>
    </row>
    <row r="103" spans="1:20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4"/>
        <v>10.214399999999999</v>
      </c>
      <c r="G103" t="s">
        <v>20</v>
      </c>
      <c r="H103">
        <v>164</v>
      </c>
      <c r="I103" s="5">
        <f t="shared" si="5"/>
        <v>56.05</v>
      </c>
      <c r="J103" t="s">
        <v>21</v>
      </c>
      <c r="K103" t="s">
        <v>22</v>
      </c>
      <c r="L103">
        <v>1424498400</v>
      </c>
      <c r="M103" s="9">
        <f t="shared" si="6"/>
        <v>42056.25</v>
      </c>
      <c r="N103">
        <v>1425103200</v>
      </c>
      <c r="O103" s="9">
        <f t="shared" si="7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_xlfn.TEXTSPLIT(R103,"/")</f>
        <v>music</v>
      </c>
      <c r="T103" t="str">
        <v>electric music</v>
      </c>
    </row>
    <row r="104" spans="1:20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4"/>
        <v>2.8168000000000002</v>
      </c>
      <c r="G104" t="s">
        <v>20</v>
      </c>
      <c r="H104">
        <v>336</v>
      </c>
      <c r="I104" s="5">
        <f t="shared" si="5"/>
        <v>31.02</v>
      </c>
      <c r="J104" t="s">
        <v>21</v>
      </c>
      <c r="K104" t="s">
        <v>22</v>
      </c>
      <c r="L104">
        <v>1526274000</v>
      </c>
      <c r="M104" s="9">
        <f t="shared" si="6"/>
        <v>43234.208333333328</v>
      </c>
      <c r="N104">
        <v>1526878800</v>
      </c>
      <c r="O104" s="9">
        <f t="shared" si="7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_xlfn.TEXTSPLIT(R104,"/")</f>
        <v>technology</v>
      </c>
      <c r="T104" t="str">
        <v>wearables</v>
      </c>
    </row>
    <row r="105" spans="1:20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4"/>
        <v>0.24610000000000001</v>
      </c>
      <c r="G105" t="s">
        <v>14</v>
      </c>
      <c r="H105">
        <v>37</v>
      </c>
      <c r="I105" s="5">
        <f t="shared" si="5"/>
        <v>66.510000000000005</v>
      </c>
      <c r="J105" t="s">
        <v>107</v>
      </c>
      <c r="K105" t="s">
        <v>108</v>
      </c>
      <c r="L105">
        <v>1287896400</v>
      </c>
      <c r="M105" s="9">
        <f t="shared" si="6"/>
        <v>40475.208333333336</v>
      </c>
      <c r="N105">
        <v>1288674000</v>
      </c>
      <c r="O105" s="9">
        <f t="shared" si="7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_xlfn.TEXTSPLIT(R105,"/")</f>
        <v>music</v>
      </c>
      <c r="T105" t="str">
        <v>electric music</v>
      </c>
    </row>
    <row r="106" spans="1:20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4"/>
        <v>1.4314</v>
      </c>
      <c r="G106" t="s">
        <v>20</v>
      </c>
      <c r="H106">
        <v>1917</v>
      </c>
      <c r="I106" s="5">
        <f t="shared" si="5"/>
        <v>89.01</v>
      </c>
      <c r="J106" t="s">
        <v>21</v>
      </c>
      <c r="K106" t="s">
        <v>22</v>
      </c>
      <c r="L106">
        <v>1495515600</v>
      </c>
      <c r="M106" s="9">
        <f t="shared" si="6"/>
        <v>42878.208333333328</v>
      </c>
      <c r="N106">
        <v>1495602000</v>
      </c>
      <c r="O106" s="9">
        <f t="shared" si="7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_xlfn.TEXTSPLIT(R106,"/")</f>
        <v>music</v>
      </c>
      <c r="T106" t="str">
        <v>indie rock</v>
      </c>
    </row>
    <row r="107" spans="1:20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4"/>
        <v>1.4454</v>
      </c>
      <c r="G107" t="s">
        <v>20</v>
      </c>
      <c r="H107">
        <v>95</v>
      </c>
      <c r="I107" s="5">
        <f t="shared" si="5"/>
        <v>103.46</v>
      </c>
      <c r="J107" t="s">
        <v>21</v>
      </c>
      <c r="K107" t="s">
        <v>22</v>
      </c>
      <c r="L107">
        <v>1364878800</v>
      </c>
      <c r="M107" s="9">
        <f t="shared" si="6"/>
        <v>41366.208333333336</v>
      </c>
      <c r="N107">
        <v>1366434000</v>
      </c>
      <c r="O107" s="9">
        <f t="shared" si="7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_xlfn.TEXTSPLIT(R107,"/")</f>
        <v>technology</v>
      </c>
      <c r="T107" t="str">
        <v>web</v>
      </c>
    </row>
    <row r="108" spans="1:20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4"/>
        <v>3.5912999999999999</v>
      </c>
      <c r="G108" t="s">
        <v>20</v>
      </c>
      <c r="H108">
        <v>147</v>
      </c>
      <c r="I108" s="5">
        <f t="shared" si="5"/>
        <v>95.28</v>
      </c>
      <c r="J108" t="s">
        <v>21</v>
      </c>
      <c r="K108" t="s">
        <v>22</v>
      </c>
      <c r="L108">
        <v>1567918800</v>
      </c>
      <c r="M108" s="9">
        <f t="shared" si="6"/>
        <v>43716.208333333328</v>
      </c>
      <c r="N108">
        <v>1568350800</v>
      </c>
      <c r="O108" s="9">
        <f t="shared" si="7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_xlfn.TEXTSPLIT(R108,"/")</f>
        <v>theater</v>
      </c>
      <c r="T108" t="str">
        <v>plays</v>
      </c>
    </row>
    <row r="109" spans="1:20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4"/>
        <v>1.8649</v>
      </c>
      <c r="G109" t="s">
        <v>20</v>
      </c>
      <c r="H109">
        <v>86</v>
      </c>
      <c r="I109" s="5">
        <f t="shared" si="5"/>
        <v>75.900000000000006</v>
      </c>
      <c r="J109" t="s">
        <v>21</v>
      </c>
      <c r="K109" t="s">
        <v>22</v>
      </c>
      <c r="L109">
        <v>1524459600</v>
      </c>
      <c r="M109" s="9">
        <f t="shared" si="6"/>
        <v>43213.208333333328</v>
      </c>
      <c r="N109">
        <v>1525928400</v>
      </c>
      <c r="O109" s="9">
        <f t="shared" si="7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_xlfn.TEXTSPLIT(R109,"/")</f>
        <v>theater</v>
      </c>
      <c r="T109" t="str">
        <v>plays</v>
      </c>
    </row>
    <row r="110" spans="1:20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4"/>
        <v>5.9527000000000001</v>
      </c>
      <c r="G110" t="s">
        <v>20</v>
      </c>
      <c r="H110">
        <v>83</v>
      </c>
      <c r="I110" s="5">
        <f t="shared" si="5"/>
        <v>107.58</v>
      </c>
      <c r="J110" t="s">
        <v>21</v>
      </c>
      <c r="K110" t="s">
        <v>22</v>
      </c>
      <c r="L110">
        <v>1333688400</v>
      </c>
      <c r="M110" s="9">
        <f t="shared" si="6"/>
        <v>41005.208333333336</v>
      </c>
      <c r="N110">
        <v>1336885200</v>
      </c>
      <c r="O110" s="9">
        <f t="shared" si="7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_xlfn.TEXTSPLIT(R110,"/")</f>
        <v>film &amp; video</v>
      </c>
      <c r="T110" t="str">
        <v>documentary</v>
      </c>
    </row>
    <row r="111" spans="1:20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4"/>
        <v>0.59209999999999996</v>
      </c>
      <c r="G111" t="s">
        <v>14</v>
      </c>
      <c r="H111">
        <v>60</v>
      </c>
      <c r="I111" s="5">
        <f t="shared" si="5"/>
        <v>51.32</v>
      </c>
      <c r="J111" t="s">
        <v>21</v>
      </c>
      <c r="K111" t="s">
        <v>22</v>
      </c>
      <c r="L111">
        <v>1389506400</v>
      </c>
      <c r="M111" s="9">
        <f t="shared" si="6"/>
        <v>41651.25</v>
      </c>
      <c r="N111">
        <v>1389679200</v>
      </c>
      <c r="O111" s="9">
        <f t="shared" si="7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_xlfn.TEXTSPLIT(R111,"/")</f>
        <v>film &amp; video</v>
      </c>
      <c r="T111" t="str">
        <v>television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4"/>
        <v>0.14960000000000001</v>
      </c>
      <c r="G112" t="s">
        <v>14</v>
      </c>
      <c r="H112">
        <v>296</v>
      </c>
      <c r="I112" s="5">
        <f t="shared" si="5"/>
        <v>71.98</v>
      </c>
      <c r="J112" t="s">
        <v>21</v>
      </c>
      <c r="K112" t="s">
        <v>22</v>
      </c>
      <c r="L112">
        <v>1536642000</v>
      </c>
      <c r="M112" s="9">
        <f t="shared" si="6"/>
        <v>43354.208333333328</v>
      </c>
      <c r="N112">
        <v>1538283600</v>
      </c>
      <c r="O112" s="9">
        <f t="shared" si="7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_xlfn.TEXTSPLIT(R112,"/")</f>
        <v>food</v>
      </c>
      <c r="T112" t="str">
        <v>food trucks</v>
      </c>
    </row>
    <row r="113" spans="1:20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4"/>
        <v>1.1996</v>
      </c>
      <c r="G113" t="s">
        <v>20</v>
      </c>
      <c r="H113">
        <v>676</v>
      </c>
      <c r="I113" s="5">
        <f t="shared" si="5"/>
        <v>108.95</v>
      </c>
      <c r="J113" t="s">
        <v>21</v>
      </c>
      <c r="K113" t="s">
        <v>22</v>
      </c>
      <c r="L113">
        <v>1348290000</v>
      </c>
      <c r="M113" s="9">
        <f t="shared" si="6"/>
        <v>41174.208333333336</v>
      </c>
      <c r="N113">
        <v>1348808400</v>
      </c>
      <c r="O113" s="9">
        <f t="shared" si="7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_xlfn.TEXTSPLIT(R113,"/")</f>
        <v>publishing</v>
      </c>
      <c r="T113" t="str">
        <v>radio &amp; podcasts</v>
      </c>
    </row>
    <row r="114" spans="1:20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4"/>
        <v>2.6882999999999999</v>
      </c>
      <c r="G114" t="s">
        <v>20</v>
      </c>
      <c r="H114">
        <v>361</v>
      </c>
      <c r="I114" s="5">
        <f t="shared" si="5"/>
        <v>35</v>
      </c>
      <c r="J114" t="s">
        <v>26</v>
      </c>
      <c r="K114" t="s">
        <v>27</v>
      </c>
      <c r="L114">
        <v>1408856400</v>
      </c>
      <c r="M114" s="9">
        <f t="shared" si="6"/>
        <v>41875.208333333336</v>
      </c>
      <c r="N114">
        <v>1410152400</v>
      </c>
      <c r="O114" s="9">
        <f t="shared" si="7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_xlfn.TEXTSPLIT(R114,"/")</f>
        <v>technology</v>
      </c>
      <c r="T114" t="str">
        <v>web</v>
      </c>
    </row>
    <row r="115" spans="1:20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4"/>
        <v>3.7688000000000001</v>
      </c>
      <c r="G115" t="s">
        <v>20</v>
      </c>
      <c r="H115">
        <v>131</v>
      </c>
      <c r="I115" s="5">
        <f t="shared" si="5"/>
        <v>94.94</v>
      </c>
      <c r="J115" t="s">
        <v>21</v>
      </c>
      <c r="K115" t="s">
        <v>22</v>
      </c>
      <c r="L115">
        <v>1505192400</v>
      </c>
      <c r="M115" s="9">
        <f t="shared" si="6"/>
        <v>42990.208333333328</v>
      </c>
      <c r="N115">
        <v>1505797200</v>
      </c>
      <c r="O115" s="9">
        <f t="shared" si="7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_xlfn.TEXTSPLIT(R115,"/")</f>
        <v>food</v>
      </c>
      <c r="T115" t="str">
        <v>food trucks</v>
      </c>
    </row>
    <row r="116" spans="1:20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4"/>
        <v>7.2716000000000003</v>
      </c>
      <c r="G116" t="s">
        <v>20</v>
      </c>
      <c r="H116">
        <v>126</v>
      </c>
      <c r="I116" s="5">
        <f t="shared" si="5"/>
        <v>109.65</v>
      </c>
      <c r="J116" t="s">
        <v>21</v>
      </c>
      <c r="K116" t="s">
        <v>22</v>
      </c>
      <c r="L116">
        <v>1554786000</v>
      </c>
      <c r="M116" s="9">
        <f t="shared" si="6"/>
        <v>43564.208333333328</v>
      </c>
      <c r="N116">
        <v>1554872400</v>
      </c>
      <c r="O116" s="9">
        <f t="shared" si="7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_xlfn.TEXTSPLIT(R116,"/")</f>
        <v>technology</v>
      </c>
      <c r="T116" t="str">
        <v>wearables</v>
      </c>
    </row>
    <row r="117" spans="1:20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4"/>
        <v>0.87209999999999999</v>
      </c>
      <c r="G117" t="s">
        <v>14</v>
      </c>
      <c r="H117">
        <v>3304</v>
      </c>
      <c r="I117" s="5">
        <f t="shared" si="5"/>
        <v>44</v>
      </c>
      <c r="J117" t="s">
        <v>107</v>
      </c>
      <c r="K117" t="s">
        <v>108</v>
      </c>
      <c r="L117">
        <v>1510898400</v>
      </c>
      <c r="M117" s="9">
        <f t="shared" si="6"/>
        <v>43056.25</v>
      </c>
      <c r="N117">
        <v>1513922400</v>
      </c>
      <c r="O117" s="9">
        <f t="shared" si="7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_xlfn.TEXTSPLIT(R117,"/")</f>
        <v>publishing</v>
      </c>
      <c r="T117" t="str">
        <v>fiction</v>
      </c>
    </row>
    <row r="118" spans="1:20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4"/>
        <v>0.88</v>
      </c>
      <c r="G118" t="s">
        <v>14</v>
      </c>
      <c r="H118">
        <v>73</v>
      </c>
      <c r="I118" s="5">
        <f t="shared" si="5"/>
        <v>86.79</v>
      </c>
      <c r="J118" t="s">
        <v>21</v>
      </c>
      <c r="K118" t="s">
        <v>22</v>
      </c>
      <c r="L118">
        <v>1442552400</v>
      </c>
      <c r="M118" s="9">
        <f t="shared" si="6"/>
        <v>42265.208333333328</v>
      </c>
      <c r="N118">
        <v>1442638800</v>
      </c>
      <c r="O118" s="9">
        <f t="shared" si="7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_xlfn.TEXTSPLIT(R118,"/")</f>
        <v>theater</v>
      </c>
      <c r="T118" t="str">
        <v>plays</v>
      </c>
    </row>
    <row r="119" spans="1:20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4"/>
        <v>1.7394000000000001</v>
      </c>
      <c r="G119" t="s">
        <v>20</v>
      </c>
      <c r="H119">
        <v>275</v>
      </c>
      <c r="I119" s="5">
        <f t="shared" si="5"/>
        <v>30.99</v>
      </c>
      <c r="J119" t="s">
        <v>21</v>
      </c>
      <c r="K119" t="s">
        <v>22</v>
      </c>
      <c r="L119">
        <v>1316667600</v>
      </c>
      <c r="M119" s="9">
        <f t="shared" si="6"/>
        <v>40808.208333333336</v>
      </c>
      <c r="N119">
        <v>1317186000</v>
      </c>
      <c r="O119" s="9">
        <f t="shared" si="7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_xlfn.TEXTSPLIT(R119,"/")</f>
        <v>film &amp; video</v>
      </c>
      <c r="T119" t="str">
        <v>television</v>
      </c>
    </row>
    <row r="120" spans="1:20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4"/>
        <v>1.1760999999999999</v>
      </c>
      <c r="G120" t="s">
        <v>20</v>
      </c>
      <c r="H120">
        <v>67</v>
      </c>
      <c r="I120" s="5">
        <f t="shared" si="5"/>
        <v>94.79</v>
      </c>
      <c r="J120" t="s">
        <v>21</v>
      </c>
      <c r="K120" t="s">
        <v>22</v>
      </c>
      <c r="L120">
        <v>1390716000</v>
      </c>
      <c r="M120" s="9">
        <f t="shared" si="6"/>
        <v>41665.25</v>
      </c>
      <c r="N120">
        <v>1391234400</v>
      </c>
      <c r="O120" s="9">
        <f t="shared" si="7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_xlfn.TEXTSPLIT(R120,"/")</f>
        <v>photography</v>
      </c>
      <c r="T120" t="str">
        <v>photography books</v>
      </c>
    </row>
    <row r="121" spans="1:20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4"/>
        <v>2.1496</v>
      </c>
      <c r="G121" t="s">
        <v>20</v>
      </c>
      <c r="H121">
        <v>154</v>
      </c>
      <c r="I121" s="5">
        <f t="shared" si="5"/>
        <v>69.790000000000006</v>
      </c>
      <c r="J121" t="s">
        <v>21</v>
      </c>
      <c r="K121" t="s">
        <v>22</v>
      </c>
      <c r="L121">
        <v>1402894800</v>
      </c>
      <c r="M121" s="9">
        <f t="shared" si="6"/>
        <v>41806.208333333336</v>
      </c>
      <c r="N121">
        <v>1404363600</v>
      </c>
      <c r="O121" s="9">
        <f t="shared" si="7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_xlfn.TEXTSPLIT(R121,"/")</f>
        <v>film &amp; video</v>
      </c>
      <c r="T121" t="str">
        <v>documentary</v>
      </c>
    </row>
    <row r="122" spans="1:20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4"/>
        <v>1.4950000000000001</v>
      </c>
      <c r="G122" t="s">
        <v>20</v>
      </c>
      <c r="H122">
        <v>1782</v>
      </c>
      <c r="I122" s="5">
        <f t="shared" si="5"/>
        <v>63</v>
      </c>
      <c r="J122" t="s">
        <v>21</v>
      </c>
      <c r="K122" t="s">
        <v>22</v>
      </c>
      <c r="L122">
        <v>1429246800</v>
      </c>
      <c r="M122" s="9">
        <f t="shared" si="6"/>
        <v>42111.208333333328</v>
      </c>
      <c r="N122">
        <v>1429592400</v>
      </c>
      <c r="O122" s="9">
        <f t="shared" si="7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_xlfn.TEXTSPLIT(R122,"/")</f>
        <v>games</v>
      </c>
      <c r="T122" t="str">
        <v>mobile games</v>
      </c>
    </row>
    <row r="123" spans="1:20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4"/>
        <v>2.1934</v>
      </c>
      <c r="G123" t="s">
        <v>20</v>
      </c>
      <c r="H123">
        <v>903</v>
      </c>
      <c r="I123" s="5">
        <f t="shared" si="5"/>
        <v>110.03</v>
      </c>
      <c r="J123" t="s">
        <v>21</v>
      </c>
      <c r="K123" t="s">
        <v>22</v>
      </c>
      <c r="L123">
        <v>1412485200</v>
      </c>
      <c r="M123" s="9">
        <f t="shared" si="6"/>
        <v>41917.208333333336</v>
      </c>
      <c r="N123">
        <v>1413608400</v>
      </c>
      <c r="O123" s="9">
        <f t="shared" si="7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_xlfn.TEXTSPLIT(R123,"/")</f>
        <v>games</v>
      </c>
      <c r="T123" t="str">
        <v>video games</v>
      </c>
    </row>
    <row r="124" spans="1:20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4"/>
        <v>0.64370000000000005</v>
      </c>
      <c r="G124" t="s">
        <v>14</v>
      </c>
      <c r="H124">
        <v>3387</v>
      </c>
      <c r="I124" s="5">
        <f t="shared" si="5"/>
        <v>26</v>
      </c>
      <c r="J124" t="s">
        <v>21</v>
      </c>
      <c r="K124" t="s">
        <v>22</v>
      </c>
      <c r="L124">
        <v>1417068000</v>
      </c>
      <c r="M124" s="9">
        <f t="shared" si="6"/>
        <v>41970.25</v>
      </c>
      <c r="N124">
        <v>1419400800</v>
      </c>
      <c r="O124" s="9">
        <f t="shared" si="7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_xlfn.TEXTSPLIT(R124,"/")</f>
        <v>publishing</v>
      </c>
      <c r="T124" t="str">
        <v>fiction</v>
      </c>
    </row>
    <row r="125" spans="1:20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4"/>
        <v>0.1862</v>
      </c>
      <c r="G125" t="s">
        <v>14</v>
      </c>
      <c r="H125">
        <v>662</v>
      </c>
      <c r="I125" s="5">
        <f t="shared" si="5"/>
        <v>49.99</v>
      </c>
      <c r="J125" t="s">
        <v>15</v>
      </c>
      <c r="K125" t="s">
        <v>16</v>
      </c>
      <c r="L125">
        <v>1448344800</v>
      </c>
      <c r="M125" s="9">
        <f t="shared" si="6"/>
        <v>42332.25</v>
      </c>
      <c r="N125">
        <v>1448604000</v>
      </c>
      <c r="O125" s="9">
        <f t="shared" si="7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_xlfn.TEXTSPLIT(R125,"/")</f>
        <v>theater</v>
      </c>
      <c r="T125" t="str">
        <v>plays</v>
      </c>
    </row>
    <row r="126" spans="1:20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4"/>
        <v>3.6777000000000002</v>
      </c>
      <c r="G126" t="s">
        <v>20</v>
      </c>
      <c r="H126">
        <v>94</v>
      </c>
      <c r="I126" s="5">
        <f t="shared" si="5"/>
        <v>101.72</v>
      </c>
      <c r="J126" t="s">
        <v>107</v>
      </c>
      <c r="K126" t="s">
        <v>108</v>
      </c>
      <c r="L126">
        <v>1557723600</v>
      </c>
      <c r="M126" s="9">
        <f t="shared" si="6"/>
        <v>43598.208333333328</v>
      </c>
      <c r="N126">
        <v>1562302800</v>
      </c>
      <c r="O126" s="9">
        <f t="shared" si="7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_xlfn.TEXTSPLIT(R126,"/")</f>
        <v>photography</v>
      </c>
      <c r="T126" t="str">
        <v>photography books</v>
      </c>
    </row>
    <row r="127" spans="1:20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4"/>
        <v>1.5991</v>
      </c>
      <c r="G127" t="s">
        <v>20</v>
      </c>
      <c r="H127">
        <v>180</v>
      </c>
      <c r="I127" s="5">
        <f t="shared" si="5"/>
        <v>47.08</v>
      </c>
      <c r="J127" t="s">
        <v>21</v>
      </c>
      <c r="K127" t="s">
        <v>22</v>
      </c>
      <c r="L127">
        <v>1537333200</v>
      </c>
      <c r="M127" s="9">
        <f t="shared" si="6"/>
        <v>43362.208333333328</v>
      </c>
      <c r="N127">
        <v>1537678800</v>
      </c>
      <c r="O127" s="9">
        <f t="shared" si="7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_xlfn.TEXTSPLIT(R127,"/")</f>
        <v>theater</v>
      </c>
      <c r="T127" t="str">
        <v>plays</v>
      </c>
    </row>
    <row r="128" spans="1:20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4"/>
        <v>0.38629999999999998</v>
      </c>
      <c r="G128" t="s">
        <v>14</v>
      </c>
      <c r="H128">
        <v>774</v>
      </c>
      <c r="I128" s="5">
        <f t="shared" si="5"/>
        <v>89.94</v>
      </c>
      <c r="J128" t="s">
        <v>21</v>
      </c>
      <c r="K128" t="s">
        <v>22</v>
      </c>
      <c r="L128">
        <v>1471150800</v>
      </c>
      <c r="M128" s="9">
        <f t="shared" si="6"/>
        <v>42596.208333333328</v>
      </c>
      <c r="N128">
        <v>1473570000</v>
      </c>
      <c r="O128" s="9">
        <f t="shared" si="7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_xlfn.TEXTSPLIT(R128,"/")</f>
        <v>theater</v>
      </c>
      <c r="T128" t="str">
        <v>plays</v>
      </c>
    </row>
    <row r="129" spans="1:20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4"/>
        <v>0.51419999999999999</v>
      </c>
      <c r="G129" t="s">
        <v>14</v>
      </c>
      <c r="H129">
        <v>672</v>
      </c>
      <c r="I129" s="5">
        <f t="shared" si="5"/>
        <v>78.97</v>
      </c>
      <c r="J129" t="s">
        <v>15</v>
      </c>
      <c r="K129" t="s">
        <v>16</v>
      </c>
      <c r="L129">
        <v>1273640400</v>
      </c>
      <c r="M129" s="9">
        <f t="shared" si="6"/>
        <v>40310.208333333336</v>
      </c>
      <c r="N129">
        <v>1273899600</v>
      </c>
      <c r="O129" s="9">
        <f t="shared" si="7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_xlfn.TEXTSPLIT(R129,"/")</f>
        <v>theater</v>
      </c>
      <c r="T129" t="str">
        <v>plays</v>
      </c>
    </row>
    <row r="130" spans="1:20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4"/>
        <v>0.60329999999999995</v>
      </c>
      <c r="G130" t="s">
        <v>74</v>
      </c>
      <c r="H130">
        <v>532</v>
      </c>
      <c r="I130" s="5">
        <f t="shared" si="5"/>
        <v>80.069999999999993</v>
      </c>
      <c r="J130" t="s">
        <v>21</v>
      </c>
      <c r="K130" t="s">
        <v>22</v>
      </c>
      <c r="L130">
        <v>1282885200</v>
      </c>
      <c r="M130" s="9">
        <f t="shared" si="6"/>
        <v>40417.208333333336</v>
      </c>
      <c r="N130">
        <v>1284008400</v>
      </c>
      <c r="O130" s="9">
        <f t="shared" si="7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_xlfn.TEXTSPLIT(R130,"/")</f>
        <v>music</v>
      </c>
      <c r="T130" t="str">
        <v>rock</v>
      </c>
    </row>
    <row r="131" spans="1:20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ref="F131:F194" si="8">ROUND(E131/D131,4)</f>
        <v>3.2000000000000001E-2</v>
      </c>
      <c r="G131" t="s">
        <v>74</v>
      </c>
      <c r="H131">
        <v>55</v>
      </c>
      <c r="I131" s="5">
        <f t="shared" ref="I131:I194" si="9">IF(H131=0,"0",(ROUND(E131/H131,2)))</f>
        <v>86.47</v>
      </c>
      <c r="J131" t="s">
        <v>26</v>
      </c>
      <c r="K131" t="s">
        <v>27</v>
      </c>
      <c r="L131">
        <v>1422943200</v>
      </c>
      <c r="M131" s="9">
        <f t="shared" ref="M131:M194" si="10">(((L131/60)/60)/24)+DATE(1970,1,1)</f>
        <v>42038.25</v>
      </c>
      <c r="N131">
        <v>1425103200</v>
      </c>
      <c r="O131" s="9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_xlfn.TEXTSPLIT(R131,"/")</f>
        <v>food</v>
      </c>
      <c r="T131" t="str">
        <v>food trucks</v>
      </c>
    </row>
    <row r="132" spans="1:20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si="8"/>
        <v>1.5547</v>
      </c>
      <c r="G132" t="s">
        <v>20</v>
      </c>
      <c r="H132">
        <v>533</v>
      </c>
      <c r="I132" s="5">
        <f t="shared" si="9"/>
        <v>28</v>
      </c>
      <c r="J132" t="s">
        <v>36</v>
      </c>
      <c r="K132" t="s">
        <v>37</v>
      </c>
      <c r="L132">
        <v>1319605200</v>
      </c>
      <c r="M132" s="9">
        <f t="shared" si="10"/>
        <v>40842.208333333336</v>
      </c>
      <c r="N132">
        <v>1320991200</v>
      </c>
      <c r="O132" s="9">
        <f t="shared" si="11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_xlfn.TEXTSPLIT(R132,"/")</f>
        <v>film &amp; video</v>
      </c>
      <c r="T132" t="str">
        <v>drama</v>
      </c>
    </row>
    <row r="133" spans="1:20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8"/>
        <v>1.0085999999999999</v>
      </c>
      <c r="G133" t="s">
        <v>20</v>
      </c>
      <c r="H133">
        <v>2443</v>
      </c>
      <c r="I133" s="5">
        <f t="shared" si="9"/>
        <v>68</v>
      </c>
      <c r="J133" t="s">
        <v>40</v>
      </c>
      <c r="K133" t="s">
        <v>41</v>
      </c>
      <c r="L133">
        <v>1385704800</v>
      </c>
      <c r="M133" s="9">
        <f t="shared" si="10"/>
        <v>41607.25</v>
      </c>
      <c r="N133">
        <v>1386828000</v>
      </c>
      <c r="O133" s="9">
        <f t="shared" si="11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_xlfn.TEXTSPLIT(R133,"/")</f>
        <v>technology</v>
      </c>
      <c r="T133" t="str">
        <v>web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8"/>
        <v>1.1617999999999999</v>
      </c>
      <c r="G134" t="s">
        <v>20</v>
      </c>
      <c r="H134">
        <v>89</v>
      </c>
      <c r="I134" s="5">
        <f t="shared" si="9"/>
        <v>43.08</v>
      </c>
      <c r="J134" t="s">
        <v>21</v>
      </c>
      <c r="K134" t="s">
        <v>22</v>
      </c>
      <c r="L134">
        <v>1515736800</v>
      </c>
      <c r="M134" s="9">
        <f t="shared" si="10"/>
        <v>43112.25</v>
      </c>
      <c r="N134">
        <v>1517119200</v>
      </c>
      <c r="O134" s="9">
        <f t="shared" si="11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_xlfn.TEXTSPLIT(R134,"/")</f>
        <v>theater</v>
      </c>
      <c r="T134" t="str">
        <v>plays</v>
      </c>
    </row>
    <row r="135" spans="1:20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8"/>
        <v>3.1078000000000001</v>
      </c>
      <c r="G135" t="s">
        <v>20</v>
      </c>
      <c r="H135">
        <v>159</v>
      </c>
      <c r="I135" s="5">
        <f t="shared" si="9"/>
        <v>87.96</v>
      </c>
      <c r="J135" t="s">
        <v>21</v>
      </c>
      <c r="K135" t="s">
        <v>22</v>
      </c>
      <c r="L135">
        <v>1313125200</v>
      </c>
      <c r="M135" s="9">
        <f t="shared" si="10"/>
        <v>40767.208333333336</v>
      </c>
      <c r="N135">
        <v>1315026000</v>
      </c>
      <c r="O135" s="9">
        <f t="shared" si="11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_xlfn.TEXTSPLIT(R135,"/")</f>
        <v>music</v>
      </c>
      <c r="T135" t="str">
        <v>world music</v>
      </c>
    </row>
    <row r="136" spans="1:20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8"/>
        <v>0.89739999999999998</v>
      </c>
      <c r="G136" t="s">
        <v>14</v>
      </c>
      <c r="H136">
        <v>940</v>
      </c>
      <c r="I136" s="5">
        <f t="shared" si="9"/>
        <v>94.99</v>
      </c>
      <c r="J136" t="s">
        <v>98</v>
      </c>
      <c r="K136" t="s">
        <v>99</v>
      </c>
      <c r="L136">
        <v>1308459600</v>
      </c>
      <c r="M136" s="9">
        <f t="shared" si="10"/>
        <v>40713.208333333336</v>
      </c>
      <c r="N136">
        <v>1312693200</v>
      </c>
      <c r="O136" s="9">
        <f t="shared" si="11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_xlfn.TEXTSPLIT(R136,"/")</f>
        <v>film &amp; video</v>
      </c>
      <c r="T136" t="str">
        <v>documentary</v>
      </c>
    </row>
    <row r="137" spans="1:20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8"/>
        <v>0.7127</v>
      </c>
      <c r="G137" t="s">
        <v>14</v>
      </c>
      <c r="H137">
        <v>117</v>
      </c>
      <c r="I137" s="5">
        <f t="shared" si="9"/>
        <v>46.91</v>
      </c>
      <c r="J137" t="s">
        <v>21</v>
      </c>
      <c r="K137" t="s">
        <v>22</v>
      </c>
      <c r="L137">
        <v>1362636000</v>
      </c>
      <c r="M137" s="9">
        <f t="shared" si="10"/>
        <v>41340.25</v>
      </c>
      <c r="N137">
        <v>1363064400</v>
      </c>
      <c r="O137" s="9">
        <f t="shared" si="11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_xlfn.TEXTSPLIT(R137,"/")</f>
        <v>theater</v>
      </c>
      <c r="T137" t="str">
        <v>plays</v>
      </c>
    </row>
    <row r="138" spans="1:20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8"/>
        <v>3.2899999999999999E-2</v>
      </c>
      <c r="G138" t="s">
        <v>74</v>
      </c>
      <c r="H138">
        <v>58</v>
      </c>
      <c r="I138" s="5">
        <f t="shared" si="9"/>
        <v>46.91</v>
      </c>
      <c r="J138" t="s">
        <v>21</v>
      </c>
      <c r="K138" t="s">
        <v>22</v>
      </c>
      <c r="L138">
        <v>1402117200</v>
      </c>
      <c r="M138" s="9">
        <f t="shared" si="10"/>
        <v>41797.208333333336</v>
      </c>
      <c r="N138">
        <v>1403154000</v>
      </c>
      <c r="O138" s="9">
        <f t="shared" si="11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_xlfn.TEXTSPLIT(R138,"/")</f>
        <v>film &amp; video</v>
      </c>
      <c r="T138" t="str">
        <v>drama</v>
      </c>
    </row>
    <row r="139" spans="1:20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8"/>
        <v>2.6177999999999999</v>
      </c>
      <c r="G139" t="s">
        <v>20</v>
      </c>
      <c r="H139">
        <v>50</v>
      </c>
      <c r="I139" s="5">
        <f t="shared" si="9"/>
        <v>94.24</v>
      </c>
      <c r="J139" t="s">
        <v>21</v>
      </c>
      <c r="K139" t="s">
        <v>22</v>
      </c>
      <c r="L139">
        <v>1286341200</v>
      </c>
      <c r="M139" s="9">
        <f t="shared" si="10"/>
        <v>40457.208333333336</v>
      </c>
      <c r="N139">
        <v>1286859600</v>
      </c>
      <c r="O139" s="9">
        <f t="shared" si="11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_xlfn.TEXTSPLIT(R139,"/")</f>
        <v>publishing</v>
      </c>
      <c r="T139" t="str">
        <v>nonfiction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8"/>
        <v>0.96</v>
      </c>
      <c r="G140" t="s">
        <v>14</v>
      </c>
      <c r="H140">
        <v>115</v>
      </c>
      <c r="I140" s="5">
        <f t="shared" si="9"/>
        <v>80.14</v>
      </c>
      <c r="J140" t="s">
        <v>21</v>
      </c>
      <c r="K140" t="s">
        <v>22</v>
      </c>
      <c r="L140">
        <v>1348808400</v>
      </c>
      <c r="M140" s="9">
        <f t="shared" si="10"/>
        <v>41180.208333333336</v>
      </c>
      <c r="N140">
        <v>1349326800</v>
      </c>
      <c r="O140" s="9">
        <f t="shared" si="11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_xlfn.TEXTSPLIT(R140,"/")</f>
        <v>games</v>
      </c>
      <c r="T140" t="str">
        <v>mobile games</v>
      </c>
    </row>
    <row r="141" spans="1:20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8"/>
        <v>0.20899999999999999</v>
      </c>
      <c r="G141" t="s">
        <v>14</v>
      </c>
      <c r="H141">
        <v>326</v>
      </c>
      <c r="I141" s="5">
        <f t="shared" si="9"/>
        <v>59.04</v>
      </c>
      <c r="J141" t="s">
        <v>21</v>
      </c>
      <c r="K141" t="s">
        <v>22</v>
      </c>
      <c r="L141">
        <v>1429592400</v>
      </c>
      <c r="M141" s="9">
        <f t="shared" si="10"/>
        <v>42115.208333333328</v>
      </c>
      <c r="N141">
        <v>1430974800</v>
      </c>
      <c r="O141" s="9">
        <f t="shared" si="11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_xlfn.TEXTSPLIT(R141,"/")</f>
        <v>technology</v>
      </c>
      <c r="T141" t="str">
        <v>wearables</v>
      </c>
    </row>
    <row r="142" spans="1:20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8"/>
        <v>2.2315999999999998</v>
      </c>
      <c r="G142" t="s">
        <v>20</v>
      </c>
      <c r="H142">
        <v>186</v>
      </c>
      <c r="I142" s="5">
        <f t="shared" si="9"/>
        <v>65.989999999999995</v>
      </c>
      <c r="J142" t="s">
        <v>21</v>
      </c>
      <c r="K142" t="s">
        <v>22</v>
      </c>
      <c r="L142">
        <v>1519538400</v>
      </c>
      <c r="M142" s="9">
        <f t="shared" si="10"/>
        <v>43156.25</v>
      </c>
      <c r="N142">
        <v>1519970400</v>
      </c>
      <c r="O142" s="9">
        <f t="shared" si="11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_xlfn.TEXTSPLIT(R142,"/")</f>
        <v>film &amp; video</v>
      </c>
      <c r="T142" t="str">
        <v>documentary</v>
      </c>
    </row>
    <row r="143" spans="1:20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8"/>
        <v>1.0159</v>
      </c>
      <c r="G143" t="s">
        <v>20</v>
      </c>
      <c r="H143">
        <v>1071</v>
      </c>
      <c r="I143" s="5">
        <f t="shared" si="9"/>
        <v>60.99</v>
      </c>
      <c r="J143" t="s">
        <v>21</v>
      </c>
      <c r="K143" t="s">
        <v>22</v>
      </c>
      <c r="L143">
        <v>1434085200</v>
      </c>
      <c r="M143" s="9">
        <f t="shared" si="10"/>
        <v>42167.208333333328</v>
      </c>
      <c r="N143">
        <v>1434603600</v>
      </c>
      <c r="O143" s="9">
        <f t="shared" si="11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_xlfn.TEXTSPLIT(R143,"/")</f>
        <v>technology</v>
      </c>
      <c r="T143" t="str">
        <v>web</v>
      </c>
    </row>
    <row r="144" spans="1:20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8"/>
        <v>2.3003999999999998</v>
      </c>
      <c r="G144" t="s">
        <v>20</v>
      </c>
      <c r="H144">
        <v>117</v>
      </c>
      <c r="I144" s="5">
        <f t="shared" si="9"/>
        <v>98.31</v>
      </c>
      <c r="J144" t="s">
        <v>21</v>
      </c>
      <c r="K144" t="s">
        <v>22</v>
      </c>
      <c r="L144">
        <v>1333688400</v>
      </c>
      <c r="M144" s="9">
        <f t="shared" si="10"/>
        <v>41005.208333333336</v>
      </c>
      <c r="N144">
        <v>1337230800</v>
      </c>
      <c r="O144" s="9">
        <f t="shared" si="11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_xlfn.TEXTSPLIT(R144,"/")</f>
        <v>technology</v>
      </c>
      <c r="T144" t="str">
        <v>web</v>
      </c>
    </row>
    <row r="145" spans="1:20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8"/>
        <v>1.3559000000000001</v>
      </c>
      <c r="G145" t="s">
        <v>20</v>
      </c>
      <c r="H145">
        <v>70</v>
      </c>
      <c r="I145" s="5">
        <f t="shared" si="9"/>
        <v>104.6</v>
      </c>
      <c r="J145" t="s">
        <v>21</v>
      </c>
      <c r="K145" t="s">
        <v>22</v>
      </c>
      <c r="L145">
        <v>1277701200</v>
      </c>
      <c r="M145" s="9">
        <f t="shared" si="10"/>
        <v>40357.208333333336</v>
      </c>
      <c r="N145">
        <v>1279429200</v>
      </c>
      <c r="O145" s="9">
        <f t="shared" si="11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_xlfn.TEXTSPLIT(R145,"/")</f>
        <v>music</v>
      </c>
      <c r="T145" t="str">
        <v>indie rock</v>
      </c>
    </row>
    <row r="146" spans="1:20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8"/>
        <v>1.2909999999999999</v>
      </c>
      <c r="G146" t="s">
        <v>20</v>
      </c>
      <c r="H146">
        <v>135</v>
      </c>
      <c r="I146" s="5">
        <f t="shared" si="9"/>
        <v>86.07</v>
      </c>
      <c r="J146" t="s">
        <v>21</v>
      </c>
      <c r="K146" t="s">
        <v>22</v>
      </c>
      <c r="L146">
        <v>1560747600</v>
      </c>
      <c r="M146" s="9">
        <f t="shared" si="10"/>
        <v>43633.208333333328</v>
      </c>
      <c r="N146">
        <v>1561438800</v>
      </c>
      <c r="O146" s="9">
        <f t="shared" si="11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_xlfn.TEXTSPLIT(R146,"/")</f>
        <v>theater</v>
      </c>
      <c r="T146" t="str">
        <v>plays</v>
      </c>
    </row>
    <row r="147" spans="1:20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8"/>
        <v>2.3651</v>
      </c>
      <c r="G147" t="s">
        <v>20</v>
      </c>
      <c r="H147">
        <v>768</v>
      </c>
      <c r="I147" s="5">
        <f t="shared" si="9"/>
        <v>76.989999999999995</v>
      </c>
      <c r="J147" t="s">
        <v>98</v>
      </c>
      <c r="K147" t="s">
        <v>99</v>
      </c>
      <c r="L147">
        <v>1410066000</v>
      </c>
      <c r="M147" s="9">
        <f t="shared" si="10"/>
        <v>41889.208333333336</v>
      </c>
      <c r="N147">
        <v>1410498000</v>
      </c>
      <c r="O147" s="9">
        <f t="shared" si="11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_xlfn.TEXTSPLIT(R147,"/")</f>
        <v>technology</v>
      </c>
      <c r="T147" t="str">
        <v>wearables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8"/>
        <v>0.17249999999999999</v>
      </c>
      <c r="G148" t="s">
        <v>74</v>
      </c>
      <c r="H148">
        <v>51</v>
      </c>
      <c r="I148" s="5">
        <f t="shared" si="9"/>
        <v>29.76</v>
      </c>
      <c r="J148" t="s">
        <v>21</v>
      </c>
      <c r="K148" t="s">
        <v>22</v>
      </c>
      <c r="L148">
        <v>1320732000</v>
      </c>
      <c r="M148" s="9">
        <f t="shared" si="10"/>
        <v>40855.25</v>
      </c>
      <c r="N148">
        <v>1322460000</v>
      </c>
      <c r="O148" s="9">
        <f t="shared" si="11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_xlfn.TEXTSPLIT(R148,"/")</f>
        <v>theater</v>
      </c>
      <c r="T148" t="str">
        <v>plays</v>
      </c>
    </row>
    <row r="149" spans="1:20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8"/>
        <v>1.1249</v>
      </c>
      <c r="G149" t="s">
        <v>20</v>
      </c>
      <c r="H149">
        <v>199</v>
      </c>
      <c r="I149" s="5">
        <f t="shared" si="9"/>
        <v>46.92</v>
      </c>
      <c r="J149" t="s">
        <v>21</v>
      </c>
      <c r="K149" t="s">
        <v>22</v>
      </c>
      <c r="L149">
        <v>1465794000</v>
      </c>
      <c r="M149" s="9">
        <f t="shared" si="10"/>
        <v>42534.208333333328</v>
      </c>
      <c r="N149">
        <v>1466312400</v>
      </c>
      <c r="O149" s="9">
        <f t="shared" si="11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_xlfn.TEXTSPLIT(R149,"/")</f>
        <v>theater</v>
      </c>
      <c r="T149" t="str">
        <v>plays</v>
      </c>
    </row>
    <row r="150" spans="1:20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8"/>
        <v>1.2101999999999999</v>
      </c>
      <c r="G150" t="s">
        <v>20</v>
      </c>
      <c r="H150">
        <v>107</v>
      </c>
      <c r="I150" s="5">
        <f t="shared" si="9"/>
        <v>105.19</v>
      </c>
      <c r="J150" t="s">
        <v>21</v>
      </c>
      <c r="K150" t="s">
        <v>22</v>
      </c>
      <c r="L150">
        <v>1500958800</v>
      </c>
      <c r="M150" s="9">
        <f t="shared" si="10"/>
        <v>42941.208333333328</v>
      </c>
      <c r="N150">
        <v>1501736400</v>
      </c>
      <c r="O150" s="9">
        <f t="shared" si="11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_xlfn.TEXTSPLIT(R150,"/")</f>
        <v>technology</v>
      </c>
      <c r="T150" t="str">
        <v>wearables</v>
      </c>
    </row>
    <row r="151" spans="1:20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8"/>
        <v>2.1987000000000001</v>
      </c>
      <c r="G151" t="s">
        <v>20</v>
      </c>
      <c r="H151">
        <v>195</v>
      </c>
      <c r="I151" s="5">
        <f t="shared" si="9"/>
        <v>69.91</v>
      </c>
      <c r="J151" t="s">
        <v>21</v>
      </c>
      <c r="K151" t="s">
        <v>22</v>
      </c>
      <c r="L151">
        <v>1357020000</v>
      </c>
      <c r="M151" s="9">
        <f t="shared" si="10"/>
        <v>41275.25</v>
      </c>
      <c r="N151">
        <v>1361512800</v>
      </c>
      <c r="O151" s="9">
        <f t="shared" si="11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_xlfn.TEXTSPLIT(R151,"/")</f>
        <v>music</v>
      </c>
      <c r="T151" t="str">
        <v>indie rock</v>
      </c>
    </row>
    <row r="152" spans="1:20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8"/>
        <v>0.01</v>
      </c>
      <c r="G152" t="s">
        <v>14</v>
      </c>
      <c r="H152">
        <v>1</v>
      </c>
      <c r="I152" s="5">
        <f t="shared" si="9"/>
        <v>1</v>
      </c>
      <c r="J152" t="s">
        <v>21</v>
      </c>
      <c r="K152" t="s">
        <v>22</v>
      </c>
      <c r="L152">
        <v>1544940000</v>
      </c>
      <c r="M152" s="9">
        <f t="shared" si="10"/>
        <v>43450.25</v>
      </c>
      <c r="N152">
        <v>1545026400</v>
      </c>
      <c r="O152" s="9">
        <f t="shared" si="11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_xlfn.TEXTSPLIT(R152,"/")</f>
        <v>music</v>
      </c>
      <c r="T152" t="str">
        <v>rock</v>
      </c>
    </row>
    <row r="153" spans="1:20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8"/>
        <v>0.64170000000000005</v>
      </c>
      <c r="G153" t="s">
        <v>14</v>
      </c>
      <c r="H153">
        <v>1467</v>
      </c>
      <c r="I153" s="5">
        <f t="shared" si="9"/>
        <v>60.01</v>
      </c>
      <c r="J153" t="s">
        <v>21</v>
      </c>
      <c r="K153" t="s">
        <v>22</v>
      </c>
      <c r="L153">
        <v>1402290000</v>
      </c>
      <c r="M153" s="9">
        <f t="shared" si="10"/>
        <v>41799.208333333336</v>
      </c>
      <c r="N153">
        <v>1406696400</v>
      </c>
      <c r="O153" s="9">
        <f t="shared" si="11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_xlfn.TEXTSPLIT(R153,"/")</f>
        <v>music</v>
      </c>
      <c r="T153" t="str">
        <v>electric music</v>
      </c>
    </row>
    <row r="154" spans="1:20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8"/>
        <v>4.2306999999999997</v>
      </c>
      <c r="G154" t="s">
        <v>20</v>
      </c>
      <c r="H154">
        <v>3376</v>
      </c>
      <c r="I154" s="5">
        <f t="shared" si="9"/>
        <v>52.01</v>
      </c>
      <c r="J154" t="s">
        <v>21</v>
      </c>
      <c r="K154" t="s">
        <v>22</v>
      </c>
      <c r="L154">
        <v>1487311200</v>
      </c>
      <c r="M154" s="9">
        <f t="shared" si="10"/>
        <v>42783.25</v>
      </c>
      <c r="N154">
        <v>1487916000</v>
      </c>
      <c r="O154" s="9">
        <f t="shared" si="11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_xlfn.TEXTSPLIT(R154,"/")</f>
        <v>music</v>
      </c>
      <c r="T154" t="str">
        <v>indie rock</v>
      </c>
    </row>
    <row r="155" spans="1:20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8"/>
        <v>0.92979999999999996</v>
      </c>
      <c r="G155" t="s">
        <v>14</v>
      </c>
      <c r="H155">
        <v>5681</v>
      </c>
      <c r="I155" s="5">
        <f t="shared" si="9"/>
        <v>31</v>
      </c>
      <c r="J155" t="s">
        <v>21</v>
      </c>
      <c r="K155" t="s">
        <v>22</v>
      </c>
      <c r="L155">
        <v>1350622800</v>
      </c>
      <c r="M155" s="9">
        <f t="shared" si="10"/>
        <v>41201.208333333336</v>
      </c>
      <c r="N155">
        <v>1351141200</v>
      </c>
      <c r="O155" s="9">
        <f t="shared" si="11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_xlfn.TEXTSPLIT(R155,"/")</f>
        <v>theater</v>
      </c>
      <c r="T155" t="str">
        <v>plays</v>
      </c>
    </row>
    <row r="156" spans="1:20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8"/>
        <v>0.58760000000000001</v>
      </c>
      <c r="G156" t="s">
        <v>14</v>
      </c>
      <c r="H156">
        <v>1059</v>
      </c>
      <c r="I156" s="5">
        <f t="shared" si="9"/>
        <v>95.04</v>
      </c>
      <c r="J156" t="s">
        <v>21</v>
      </c>
      <c r="K156" t="s">
        <v>22</v>
      </c>
      <c r="L156">
        <v>1463029200</v>
      </c>
      <c r="M156" s="9">
        <f t="shared" si="10"/>
        <v>42502.208333333328</v>
      </c>
      <c r="N156">
        <v>1465016400</v>
      </c>
      <c r="O156" s="9">
        <f t="shared" si="11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_xlfn.TEXTSPLIT(R156,"/")</f>
        <v>music</v>
      </c>
      <c r="T156" t="str">
        <v>indie rock</v>
      </c>
    </row>
    <row r="157" spans="1:20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8"/>
        <v>0.6502</v>
      </c>
      <c r="G157" t="s">
        <v>14</v>
      </c>
      <c r="H157">
        <v>1194</v>
      </c>
      <c r="I157" s="5">
        <f t="shared" si="9"/>
        <v>75.97</v>
      </c>
      <c r="J157" t="s">
        <v>21</v>
      </c>
      <c r="K157" t="s">
        <v>22</v>
      </c>
      <c r="L157">
        <v>1269493200</v>
      </c>
      <c r="M157" s="9">
        <f t="shared" si="10"/>
        <v>40262.208333333336</v>
      </c>
      <c r="N157">
        <v>1270789200</v>
      </c>
      <c r="O157" s="9">
        <f t="shared" si="11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_xlfn.TEXTSPLIT(R157,"/")</f>
        <v>theater</v>
      </c>
      <c r="T157" t="str">
        <v>plays</v>
      </c>
    </row>
    <row r="158" spans="1:20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8"/>
        <v>0.73939999999999995</v>
      </c>
      <c r="G158" t="s">
        <v>74</v>
      </c>
      <c r="H158">
        <v>379</v>
      </c>
      <c r="I158" s="5">
        <f t="shared" si="9"/>
        <v>71.010000000000005</v>
      </c>
      <c r="J158" t="s">
        <v>26</v>
      </c>
      <c r="K158" t="s">
        <v>27</v>
      </c>
      <c r="L158">
        <v>1570251600</v>
      </c>
      <c r="M158" s="9">
        <f t="shared" si="10"/>
        <v>43743.208333333328</v>
      </c>
      <c r="N158">
        <v>1572325200</v>
      </c>
      <c r="O158" s="9">
        <f t="shared" si="11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_xlfn.TEXTSPLIT(R158,"/")</f>
        <v>music</v>
      </c>
      <c r="T158" t="str">
        <v>rock</v>
      </c>
    </row>
    <row r="159" spans="1:20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8"/>
        <v>0.52669999999999995</v>
      </c>
      <c r="G159" t="s">
        <v>14</v>
      </c>
      <c r="H159">
        <v>30</v>
      </c>
      <c r="I159" s="5">
        <f t="shared" si="9"/>
        <v>73.73</v>
      </c>
      <c r="J159" t="s">
        <v>26</v>
      </c>
      <c r="K159" t="s">
        <v>27</v>
      </c>
      <c r="L159">
        <v>1388383200</v>
      </c>
      <c r="M159" s="9">
        <f t="shared" si="10"/>
        <v>41638.25</v>
      </c>
      <c r="N159">
        <v>1389420000</v>
      </c>
      <c r="O159" s="9">
        <f t="shared" si="11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_xlfn.TEXTSPLIT(R159,"/")</f>
        <v>photography</v>
      </c>
      <c r="T159" t="str">
        <v>photography books</v>
      </c>
    </row>
    <row r="160" spans="1:20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8"/>
        <v>2.2094999999999998</v>
      </c>
      <c r="G160" t="s">
        <v>20</v>
      </c>
      <c r="H160">
        <v>41</v>
      </c>
      <c r="I160" s="5">
        <f t="shared" si="9"/>
        <v>113.17</v>
      </c>
      <c r="J160" t="s">
        <v>21</v>
      </c>
      <c r="K160" t="s">
        <v>22</v>
      </c>
      <c r="L160">
        <v>1449554400</v>
      </c>
      <c r="M160" s="9">
        <f t="shared" si="10"/>
        <v>42346.25</v>
      </c>
      <c r="N160">
        <v>1449640800</v>
      </c>
      <c r="O160" s="9">
        <f t="shared" si="11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_xlfn.TEXTSPLIT(R160,"/")</f>
        <v>music</v>
      </c>
      <c r="T160" t="str">
        <v>rock</v>
      </c>
    </row>
    <row r="161" spans="1:20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8"/>
        <v>1.0001</v>
      </c>
      <c r="G161" t="s">
        <v>20</v>
      </c>
      <c r="H161">
        <v>1821</v>
      </c>
      <c r="I161" s="5">
        <f t="shared" si="9"/>
        <v>105.01</v>
      </c>
      <c r="J161" t="s">
        <v>21</v>
      </c>
      <c r="K161" t="s">
        <v>22</v>
      </c>
      <c r="L161">
        <v>1553662800</v>
      </c>
      <c r="M161" s="9">
        <f t="shared" si="10"/>
        <v>43551.208333333328</v>
      </c>
      <c r="N161">
        <v>1555218000</v>
      </c>
      <c r="O161" s="9">
        <f t="shared" si="11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_xlfn.TEXTSPLIT(R161,"/")</f>
        <v>theater</v>
      </c>
      <c r="T161" t="str">
        <v>plays</v>
      </c>
    </row>
    <row r="162" spans="1:20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8"/>
        <v>1.6231</v>
      </c>
      <c r="G162" t="s">
        <v>20</v>
      </c>
      <c r="H162">
        <v>164</v>
      </c>
      <c r="I162" s="5">
        <f t="shared" si="9"/>
        <v>79.180000000000007</v>
      </c>
      <c r="J162" t="s">
        <v>21</v>
      </c>
      <c r="K162" t="s">
        <v>22</v>
      </c>
      <c r="L162">
        <v>1556341200</v>
      </c>
      <c r="M162" s="9">
        <f t="shared" si="10"/>
        <v>43582.208333333328</v>
      </c>
      <c r="N162">
        <v>1557723600</v>
      </c>
      <c r="O162" s="9">
        <f t="shared" si="11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_xlfn.TEXTSPLIT(R162,"/")</f>
        <v>technology</v>
      </c>
      <c r="T162" t="str">
        <v>wearables</v>
      </c>
    </row>
    <row r="163" spans="1:20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8"/>
        <v>0.78180000000000005</v>
      </c>
      <c r="G163" t="s">
        <v>14</v>
      </c>
      <c r="H163">
        <v>75</v>
      </c>
      <c r="I163" s="5">
        <f t="shared" si="9"/>
        <v>57.33</v>
      </c>
      <c r="J163" t="s">
        <v>21</v>
      </c>
      <c r="K163" t="s">
        <v>22</v>
      </c>
      <c r="L163">
        <v>1442984400</v>
      </c>
      <c r="M163" s="9">
        <f t="shared" si="10"/>
        <v>42270.208333333328</v>
      </c>
      <c r="N163">
        <v>1443502800</v>
      </c>
      <c r="O163" s="9">
        <f t="shared" si="11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_xlfn.TEXTSPLIT(R163,"/")</f>
        <v>technology</v>
      </c>
      <c r="T163" t="str">
        <v>web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8"/>
        <v>1.4974000000000001</v>
      </c>
      <c r="G164" t="s">
        <v>20</v>
      </c>
      <c r="H164">
        <v>157</v>
      </c>
      <c r="I164" s="5">
        <f t="shared" si="9"/>
        <v>58.18</v>
      </c>
      <c r="J164" t="s">
        <v>98</v>
      </c>
      <c r="K164" t="s">
        <v>99</v>
      </c>
      <c r="L164">
        <v>1544248800</v>
      </c>
      <c r="M164" s="9">
        <f t="shared" si="10"/>
        <v>43442.25</v>
      </c>
      <c r="N164">
        <v>1546840800</v>
      </c>
      <c r="O164" s="9">
        <f t="shared" si="11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_xlfn.TEXTSPLIT(R164,"/")</f>
        <v>music</v>
      </c>
      <c r="T164" t="str">
        <v>rock</v>
      </c>
    </row>
    <row r="165" spans="1:20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8"/>
        <v>2.5326</v>
      </c>
      <c r="G165" t="s">
        <v>20</v>
      </c>
      <c r="H165">
        <v>246</v>
      </c>
      <c r="I165" s="5">
        <f t="shared" si="9"/>
        <v>36.03</v>
      </c>
      <c r="J165" t="s">
        <v>21</v>
      </c>
      <c r="K165" t="s">
        <v>22</v>
      </c>
      <c r="L165">
        <v>1508475600</v>
      </c>
      <c r="M165" s="9">
        <f t="shared" si="10"/>
        <v>43028.208333333328</v>
      </c>
      <c r="N165">
        <v>1512712800</v>
      </c>
      <c r="O165" s="9">
        <f t="shared" si="11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_xlfn.TEXTSPLIT(R165,"/")</f>
        <v>photography</v>
      </c>
      <c r="T165" t="str">
        <v>photography books</v>
      </c>
    </row>
    <row r="166" spans="1:20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8"/>
        <v>1.0017</v>
      </c>
      <c r="G166" t="s">
        <v>20</v>
      </c>
      <c r="H166">
        <v>1396</v>
      </c>
      <c r="I166" s="5">
        <f t="shared" si="9"/>
        <v>107.99</v>
      </c>
      <c r="J166" t="s">
        <v>21</v>
      </c>
      <c r="K166" t="s">
        <v>22</v>
      </c>
      <c r="L166">
        <v>1507438800</v>
      </c>
      <c r="M166" s="9">
        <f t="shared" si="10"/>
        <v>43016.208333333328</v>
      </c>
      <c r="N166">
        <v>1507525200</v>
      </c>
      <c r="O166" s="9">
        <f t="shared" si="11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_xlfn.TEXTSPLIT(R166,"/")</f>
        <v>theater</v>
      </c>
      <c r="T166" t="str">
        <v>plays</v>
      </c>
    </row>
    <row r="167" spans="1:20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8"/>
        <v>1.2199</v>
      </c>
      <c r="G167" t="s">
        <v>20</v>
      </c>
      <c r="H167">
        <v>2506</v>
      </c>
      <c r="I167" s="5">
        <f t="shared" si="9"/>
        <v>44.01</v>
      </c>
      <c r="J167" t="s">
        <v>21</v>
      </c>
      <c r="K167" t="s">
        <v>22</v>
      </c>
      <c r="L167">
        <v>1501563600</v>
      </c>
      <c r="M167" s="9">
        <f t="shared" si="10"/>
        <v>42948.208333333328</v>
      </c>
      <c r="N167">
        <v>1504328400</v>
      </c>
      <c r="O167" s="9">
        <f t="shared" si="11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_xlfn.TEXTSPLIT(R167,"/")</f>
        <v>technology</v>
      </c>
      <c r="T167" t="str">
        <v>web</v>
      </c>
    </row>
    <row r="168" spans="1:20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8"/>
        <v>1.3713</v>
      </c>
      <c r="G168" t="s">
        <v>20</v>
      </c>
      <c r="H168">
        <v>244</v>
      </c>
      <c r="I168" s="5">
        <f t="shared" si="9"/>
        <v>55.08</v>
      </c>
      <c r="J168" t="s">
        <v>21</v>
      </c>
      <c r="K168" t="s">
        <v>22</v>
      </c>
      <c r="L168">
        <v>1292997600</v>
      </c>
      <c r="M168" s="9">
        <f t="shared" si="10"/>
        <v>40534.25</v>
      </c>
      <c r="N168">
        <v>1293343200</v>
      </c>
      <c r="O168" s="9">
        <f t="shared" si="11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_xlfn.TEXTSPLIT(R168,"/")</f>
        <v>photography</v>
      </c>
      <c r="T168" t="str">
        <v>photography books</v>
      </c>
    </row>
    <row r="169" spans="1:20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8"/>
        <v>4.1554000000000002</v>
      </c>
      <c r="G169" t="s">
        <v>20</v>
      </c>
      <c r="H169">
        <v>146</v>
      </c>
      <c r="I169" s="5">
        <f t="shared" si="9"/>
        <v>74</v>
      </c>
      <c r="J169" t="s">
        <v>26</v>
      </c>
      <c r="K169" t="s">
        <v>27</v>
      </c>
      <c r="L169">
        <v>1370840400</v>
      </c>
      <c r="M169" s="9">
        <f t="shared" si="10"/>
        <v>41435.208333333336</v>
      </c>
      <c r="N169">
        <v>1371704400</v>
      </c>
      <c r="O169" s="9">
        <f t="shared" si="11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_xlfn.TEXTSPLIT(R169,"/")</f>
        <v>theater</v>
      </c>
      <c r="T169" t="str">
        <v>plays</v>
      </c>
    </row>
    <row r="170" spans="1:20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8"/>
        <v>0.31309999999999999</v>
      </c>
      <c r="G170" t="s">
        <v>14</v>
      </c>
      <c r="H170">
        <v>955</v>
      </c>
      <c r="I170" s="5">
        <f t="shared" si="9"/>
        <v>42</v>
      </c>
      <c r="J170" t="s">
        <v>36</v>
      </c>
      <c r="K170" t="s">
        <v>37</v>
      </c>
      <c r="L170">
        <v>1550815200</v>
      </c>
      <c r="M170" s="9">
        <f t="shared" si="10"/>
        <v>43518.25</v>
      </c>
      <c r="N170">
        <v>1552798800</v>
      </c>
      <c r="O170" s="9">
        <f t="shared" si="11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_xlfn.TEXTSPLIT(R170,"/")</f>
        <v>music</v>
      </c>
      <c r="T170" t="str">
        <v>indie rock</v>
      </c>
    </row>
    <row r="171" spans="1:20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8"/>
        <v>4.2408000000000001</v>
      </c>
      <c r="G171" t="s">
        <v>20</v>
      </c>
      <c r="H171">
        <v>1267</v>
      </c>
      <c r="I171" s="5">
        <f t="shared" si="9"/>
        <v>77.989999999999995</v>
      </c>
      <c r="J171" t="s">
        <v>21</v>
      </c>
      <c r="K171" t="s">
        <v>22</v>
      </c>
      <c r="L171">
        <v>1339909200</v>
      </c>
      <c r="M171" s="9">
        <f t="shared" si="10"/>
        <v>41077.208333333336</v>
      </c>
      <c r="N171">
        <v>1342328400</v>
      </c>
      <c r="O171" s="9">
        <f t="shared" si="11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_xlfn.TEXTSPLIT(R171,"/")</f>
        <v>film &amp; video</v>
      </c>
      <c r="T171" t="str">
        <v>shorts</v>
      </c>
    </row>
    <row r="172" spans="1:20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8"/>
        <v>2.9399999999999999E-2</v>
      </c>
      <c r="G172" t="s">
        <v>14</v>
      </c>
      <c r="H172">
        <v>67</v>
      </c>
      <c r="I172" s="5">
        <f t="shared" si="9"/>
        <v>82.51</v>
      </c>
      <c r="J172" t="s">
        <v>21</v>
      </c>
      <c r="K172" t="s">
        <v>22</v>
      </c>
      <c r="L172">
        <v>1501736400</v>
      </c>
      <c r="M172" s="9">
        <f t="shared" si="10"/>
        <v>42950.208333333328</v>
      </c>
      <c r="N172">
        <v>1502341200</v>
      </c>
      <c r="O172" s="9">
        <f t="shared" si="11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_xlfn.TEXTSPLIT(R172,"/")</f>
        <v>music</v>
      </c>
      <c r="T172" t="str">
        <v>indie rock</v>
      </c>
    </row>
    <row r="173" spans="1:20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8"/>
        <v>0.10630000000000001</v>
      </c>
      <c r="G173" t="s">
        <v>14</v>
      </c>
      <c r="H173">
        <v>5</v>
      </c>
      <c r="I173" s="5">
        <f t="shared" si="9"/>
        <v>104.2</v>
      </c>
      <c r="J173" t="s">
        <v>21</v>
      </c>
      <c r="K173" t="s">
        <v>22</v>
      </c>
      <c r="L173">
        <v>1395291600</v>
      </c>
      <c r="M173" s="9">
        <f t="shared" si="10"/>
        <v>41718.208333333336</v>
      </c>
      <c r="N173">
        <v>1397192400</v>
      </c>
      <c r="O173" s="9">
        <f t="shared" si="11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_xlfn.TEXTSPLIT(R173,"/")</f>
        <v>publishing</v>
      </c>
      <c r="T173" t="str">
        <v>translations</v>
      </c>
    </row>
    <row r="174" spans="1:20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8"/>
        <v>0.82879999999999998</v>
      </c>
      <c r="G174" t="s">
        <v>14</v>
      </c>
      <c r="H174">
        <v>26</v>
      </c>
      <c r="I174" s="5">
        <f t="shared" si="9"/>
        <v>25.5</v>
      </c>
      <c r="J174" t="s">
        <v>21</v>
      </c>
      <c r="K174" t="s">
        <v>22</v>
      </c>
      <c r="L174">
        <v>1405746000</v>
      </c>
      <c r="M174" s="9">
        <f t="shared" si="10"/>
        <v>41839.208333333336</v>
      </c>
      <c r="N174">
        <v>1407042000</v>
      </c>
      <c r="O174" s="9">
        <f t="shared" si="11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_xlfn.TEXTSPLIT(R174,"/")</f>
        <v>film &amp; video</v>
      </c>
      <c r="T174" t="str">
        <v>documentary</v>
      </c>
    </row>
    <row r="175" spans="1:20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8"/>
        <v>1.6301000000000001</v>
      </c>
      <c r="G175" t="s">
        <v>20</v>
      </c>
      <c r="H175">
        <v>1561</v>
      </c>
      <c r="I175" s="5">
        <f t="shared" si="9"/>
        <v>100.98</v>
      </c>
      <c r="J175" t="s">
        <v>21</v>
      </c>
      <c r="K175" t="s">
        <v>22</v>
      </c>
      <c r="L175">
        <v>1368853200</v>
      </c>
      <c r="M175" s="9">
        <f t="shared" si="10"/>
        <v>41412.208333333336</v>
      </c>
      <c r="N175">
        <v>1369371600</v>
      </c>
      <c r="O175" s="9">
        <f t="shared" si="11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_xlfn.TEXTSPLIT(R175,"/")</f>
        <v>theater</v>
      </c>
      <c r="T175" t="str">
        <v>plays</v>
      </c>
    </row>
    <row r="176" spans="1:20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8"/>
        <v>8.9466999999999999</v>
      </c>
      <c r="G176" t="s">
        <v>20</v>
      </c>
      <c r="H176">
        <v>48</v>
      </c>
      <c r="I176" s="5">
        <f t="shared" si="9"/>
        <v>111.83</v>
      </c>
      <c r="J176" t="s">
        <v>21</v>
      </c>
      <c r="K176" t="s">
        <v>22</v>
      </c>
      <c r="L176">
        <v>1444021200</v>
      </c>
      <c r="M176" s="9">
        <f t="shared" si="10"/>
        <v>42282.208333333328</v>
      </c>
      <c r="N176">
        <v>1444107600</v>
      </c>
      <c r="O176" s="9">
        <f t="shared" si="11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_xlfn.TEXTSPLIT(R176,"/")</f>
        <v>technology</v>
      </c>
      <c r="T176" t="str">
        <v>wearables</v>
      </c>
    </row>
    <row r="177" spans="1:20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8"/>
        <v>0.26190000000000002</v>
      </c>
      <c r="G177" t="s">
        <v>14</v>
      </c>
      <c r="H177">
        <v>1130</v>
      </c>
      <c r="I177" s="5">
        <f t="shared" si="9"/>
        <v>42</v>
      </c>
      <c r="J177" t="s">
        <v>21</v>
      </c>
      <c r="K177" t="s">
        <v>22</v>
      </c>
      <c r="L177">
        <v>1472619600</v>
      </c>
      <c r="M177" s="9">
        <f t="shared" si="10"/>
        <v>42613.208333333328</v>
      </c>
      <c r="N177">
        <v>1474261200</v>
      </c>
      <c r="O177" s="9">
        <f t="shared" si="11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_xlfn.TEXTSPLIT(R177,"/")</f>
        <v>theater</v>
      </c>
      <c r="T177" t="str">
        <v>plays</v>
      </c>
    </row>
    <row r="178" spans="1:20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8"/>
        <v>0.74829999999999997</v>
      </c>
      <c r="G178" t="s">
        <v>14</v>
      </c>
      <c r="H178">
        <v>782</v>
      </c>
      <c r="I178" s="5">
        <f t="shared" si="9"/>
        <v>110.05</v>
      </c>
      <c r="J178" t="s">
        <v>21</v>
      </c>
      <c r="K178" t="s">
        <v>22</v>
      </c>
      <c r="L178">
        <v>1472878800</v>
      </c>
      <c r="M178" s="9">
        <f t="shared" si="10"/>
        <v>42616.208333333328</v>
      </c>
      <c r="N178">
        <v>1473656400</v>
      </c>
      <c r="O178" s="9">
        <f t="shared" si="11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_xlfn.TEXTSPLIT(R178,"/")</f>
        <v>theater</v>
      </c>
      <c r="T178" t="str">
        <v>plays</v>
      </c>
    </row>
    <row r="179" spans="1:20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8"/>
        <v>4.1647999999999996</v>
      </c>
      <c r="G179" t="s">
        <v>20</v>
      </c>
      <c r="H179">
        <v>2739</v>
      </c>
      <c r="I179" s="5">
        <f t="shared" si="9"/>
        <v>59</v>
      </c>
      <c r="J179" t="s">
        <v>21</v>
      </c>
      <c r="K179" t="s">
        <v>22</v>
      </c>
      <c r="L179">
        <v>1289800800</v>
      </c>
      <c r="M179" s="9">
        <f t="shared" si="10"/>
        <v>40497.25</v>
      </c>
      <c r="N179">
        <v>1291960800</v>
      </c>
      <c r="O179" s="9">
        <f t="shared" si="11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_xlfn.TEXTSPLIT(R179,"/")</f>
        <v>theater</v>
      </c>
      <c r="T179" t="str">
        <v>plays</v>
      </c>
    </row>
    <row r="180" spans="1:20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8"/>
        <v>0.96209999999999996</v>
      </c>
      <c r="G180" t="s">
        <v>14</v>
      </c>
      <c r="H180">
        <v>210</v>
      </c>
      <c r="I180" s="5">
        <f t="shared" si="9"/>
        <v>32.99</v>
      </c>
      <c r="J180" t="s">
        <v>21</v>
      </c>
      <c r="K180" t="s">
        <v>22</v>
      </c>
      <c r="L180">
        <v>1505970000</v>
      </c>
      <c r="M180" s="9">
        <f t="shared" si="10"/>
        <v>42999.208333333328</v>
      </c>
      <c r="N180">
        <v>1506747600</v>
      </c>
      <c r="O180" s="9">
        <f t="shared" si="11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_xlfn.TEXTSPLIT(R180,"/")</f>
        <v>food</v>
      </c>
      <c r="T180" t="str">
        <v>food trucks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8"/>
        <v>3.5771999999999999</v>
      </c>
      <c r="G181" t="s">
        <v>20</v>
      </c>
      <c r="H181">
        <v>3537</v>
      </c>
      <c r="I181" s="5">
        <f t="shared" si="9"/>
        <v>45.01</v>
      </c>
      <c r="J181" t="s">
        <v>15</v>
      </c>
      <c r="K181" t="s">
        <v>16</v>
      </c>
      <c r="L181">
        <v>1363496400</v>
      </c>
      <c r="M181" s="9">
        <f t="shared" si="10"/>
        <v>41350.208333333336</v>
      </c>
      <c r="N181">
        <v>1363582800</v>
      </c>
      <c r="O181" s="9">
        <f t="shared" si="11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_xlfn.TEXTSPLIT(R181,"/")</f>
        <v>theater</v>
      </c>
      <c r="T181" t="str">
        <v>plays</v>
      </c>
    </row>
    <row r="182" spans="1:20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8"/>
        <v>3.0846</v>
      </c>
      <c r="G182" t="s">
        <v>20</v>
      </c>
      <c r="H182">
        <v>2107</v>
      </c>
      <c r="I182" s="5">
        <f t="shared" si="9"/>
        <v>81.98</v>
      </c>
      <c r="J182" t="s">
        <v>26</v>
      </c>
      <c r="K182" t="s">
        <v>27</v>
      </c>
      <c r="L182">
        <v>1269234000</v>
      </c>
      <c r="M182" s="9">
        <f t="shared" si="10"/>
        <v>40259.208333333336</v>
      </c>
      <c r="N182">
        <v>1269666000</v>
      </c>
      <c r="O182" s="9">
        <f t="shared" si="11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_xlfn.TEXTSPLIT(R182,"/")</f>
        <v>technology</v>
      </c>
      <c r="T182" t="str">
        <v>wearables</v>
      </c>
    </row>
    <row r="183" spans="1:20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8"/>
        <v>0.61799999999999999</v>
      </c>
      <c r="G183" t="s">
        <v>14</v>
      </c>
      <c r="H183">
        <v>136</v>
      </c>
      <c r="I183" s="5">
        <f t="shared" si="9"/>
        <v>39.08</v>
      </c>
      <c r="J183" t="s">
        <v>21</v>
      </c>
      <c r="K183" t="s">
        <v>22</v>
      </c>
      <c r="L183">
        <v>1507093200</v>
      </c>
      <c r="M183" s="9">
        <f t="shared" si="10"/>
        <v>43012.208333333328</v>
      </c>
      <c r="N183">
        <v>1508648400</v>
      </c>
      <c r="O183" s="9">
        <f t="shared" si="11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_xlfn.TEXTSPLIT(R183,"/")</f>
        <v>technology</v>
      </c>
      <c r="T183" t="str">
        <v>web</v>
      </c>
    </row>
    <row r="184" spans="1:20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8"/>
        <v>7.2232000000000003</v>
      </c>
      <c r="G184" t="s">
        <v>20</v>
      </c>
      <c r="H184">
        <v>3318</v>
      </c>
      <c r="I184" s="5">
        <f t="shared" si="9"/>
        <v>59</v>
      </c>
      <c r="J184" t="s">
        <v>36</v>
      </c>
      <c r="K184" t="s">
        <v>37</v>
      </c>
      <c r="L184">
        <v>1560574800</v>
      </c>
      <c r="M184" s="9">
        <f t="shared" si="10"/>
        <v>43631.208333333328</v>
      </c>
      <c r="N184">
        <v>1561957200</v>
      </c>
      <c r="O184" s="9">
        <f t="shared" si="11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_xlfn.TEXTSPLIT(R184,"/")</f>
        <v>theater</v>
      </c>
      <c r="T184" t="str">
        <v>plays</v>
      </c>
    </row>
    <row r="185" spans="1:20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8"/>
        <v>0.69120000000000004</v>
      </c>
      <c r="G185" t="s">
        <v>14</v>
      </c>
      <c r="H185">
        <v>86</v>
      </c>
      <c r="I185" s="5">
        <f t="shared" si="9"/>
        <v>40.99</v>
      </c>
      <c r="J185" t="s">
        <v>15</v>
      </c>
      <c r="K185" t="s">
        <v>16</v>
      </c>
      <c r="L185">
        <v>1284008400</v>
      </c>
      <c r="M185" s="9">
        <f t="shared" si="10"/>
        <v>40430.208333333336</v>
      </c>
      <c r="N185">
        <v>1285131600</v>
      </c>
      <c r="O185" s="9">
        <f t="shared" si="11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_xlfn.TEXTSPLIT(R185,"/")</f>
        <v>music</v>
      </c>
      <c r="T185" t="str">
        <v>rock</v>
      </c>
    </row>
    <row r="186" spans="1:20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8"/>
        <v>2.9306000000000001</v>
      </c>
      <c r="G186" t="s">
        <v>20</v>
      </c>
      <c r="H186">
        <v>340</v>
      </c>
      <c r="I186" s="5">
        <f t="shared" si="9"/>
        <v>31.03</v>
      </c>
      <c r="J186" t="s">
        <v>21</v>
      </c>
      <c r="K186" t="s">
        <v>22</v>
      </c>
      <c r="L186">
        <v>1556859600</v>
      </c>
      <c r="M186" s="9">
        <f t="shared" si="10"/>
        <v>43588.208333333328</v>
      </c>
      <c r="N186">
        <v>1556946000</v>
      </c>
      <c r="O186" s="9">
        <f t="shared" si="11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_xlfn.TEXTSPLIT(R186,"/")</f>
        <v>theater</v>
      </c>
      <c r="T186" t="str">
        <v>plays</v>
      </c>
    </row>
    <row r="187" spans="1:20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8"/>
        <v>0.71799999999999997</v>
      </c>
      <c r="G187" t="s">
        <v>14</v>
      </c>
      <c r="H187">
        <v>19</v>
      </c>
      <c r="I187" s="5">
        <f t="shared" si="9"/>
        <v>37.79</v>
      </c>
      <c r="J187" t="s">
        <v>21</v>
      </c>
      <c r="K187" t="s">
        <v>22</v>
      </c>
      <c r="L187">
        <v>1526187600</v>
      </c>
      <c r="M187" s="9">
        <f t="shared" si="10"/>
        <v>43233.208333333328</v>
      </c>
      <c r="N187">
        <v>1527138000</v>
      </c>
      <c r="O187" s="9">
        <f t="shared" si="11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_xlfn.TEXTSPLIT(R187,"/")</f>
        <v>film &amp; video</v>
      </c>
      <c r="T187" t="str">
        <v>television</v>
      </c>
    </row>
    <row r="188" spans="1:20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8"/>
        <v>0.31929999999999997</v>
      </c>
      <c r="G188" t="s">
        <v>14</v>
      </c>
      <c r="H188">
        <v>886</v>
      </c>
      <c r="I188" s="5">
        <f t="shared" si="9"/>
        <v>32.01</v>
      </c>
      <c r="J188" t="s">
        <v>21</v>
      </c>
      <c r="K188" t="s">
        <v>22</v>
      </c>
      <c r="L188">
        <v>1400821200</v>
      </c>
      <c r="M188" s="9">
        <f t="shared" si="10"/>
        <v>41782.208333333336</v>
      </c>
      <c r="N188">
        <v>1402117200</v>
      </c>
      <c r="O188" s="9">
        <f t="shared" si="11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_xlfn.TEXTSPLIT(R188,"/")</f>
        <v>theater</v>
      </c>
      <c r="T188" t="str">
        <v>plays</v>
      </c>
    </row>
    <row r="189" spans="1:20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8"/>
        <v>2.2987000000000002</v>
      </c>
      <c r="G189" t="s">
        <v>20</v>
      </c>
      <c r="H189">
        <v>1442</v>
      </c>
      <c r="I189" s="5">
        <f t="shared" si="9"/>
        <v>95.97</v>
      </c>
      <c r="J189" t="s">
        <v>15</v>
      </c>
      <c r="K189" t="s">
        <v>16</v>
      </c>
      <c r="L189">
        <v>1361599200</v>
      </c>
      <c r="M189" s="9">
        <f t="shared" si="10"/>
        <v>41328.25</v>
      </c>
      <c r="N189">
        <v>1364014800</v>
      </c>
      <c r="O189" s="9">
        <f t="shared" si="11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_xlfn.TEXTSPLIT(R189,"/")</f>
        <v>film &amp; video</v>
      </c>
      <c r="T189" t="str">
        <v>shorts</v>
      </c>
    </row>
    <row r="190" spans="1:20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8"/>
        <v>0.3201</v>
      </c>
      <c r="G190" t="s">
        <v>14</v>
      </c>
      <c r="H190">
        <v>35</v>
      </c>
      <c r="I190" s="5">
        <f t="shared" si="9"/>
        <v>75</v>
      </c>
      <c r="J190" t="s">
        <v>107</v>
      </c>
      <c r="K190" t="s">
        <v>108</v>
      </c>
      <c r="L190">
        <v>1417500000</v>
      </c>
      <c r="M190" s="9">
        <f t="shared" si="10"/>
        <v>41975.25</v>
      </c>
      <c r="N190">
        <v>1417586400</v>
      </c>
      <c r="O190" s="9">
        <f t="shared" si="11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_xlfn.TEXTSPLIT(R190,"/")</f>
        <v>theater</v>
      </c>
      <c r="T190" t="str">
        <v>plays</v>
      </c>
    </row>
    <row r="191" spans="1:20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8"/>
        <v>0.23530000000000001</v>
      </c>
      <c r="G191" t="s">
        <v>74</v>
      </c>
      <c r="H191">
        <v>441</v>
      </c>
      <c r="I191" s="5">
        <f t="shared" si="9"/>
        <v>102.05</v>
      </c>
      <c r="J191" t="s">
        <v>21</v>
      </c>
      <c r="K191" t="s">
        <v>22</v>
      </c>
      <c r="L191">
        <v>1457071200</v>
      </c>
      <c r="M191" s="9">
        <f t="shared" si="10"/>
        <v>42433.25</v>
      </c>
      <c r="N191">
        <v>1457071200</v>
      </c>
      <c r="O191" s="9">
        <f t="shared" si="11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_xlfn.TEXTSPLIT(R191,"/")</f>
        <v>theater</v>
      </c>
      <c r="T191" t="str">
        <v>plays</v>
      </c>
    </row>
    <row r="192" spans="1:20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8"/>
        <v>0.68589999999999995</v>
      </c>
      <c r="G192" t="s">
        <v>14</v>
      </c>
      <c r="H192">
        <v>24</v>
      </c>
      <c r="I192" s="5">
        <f t="shared" si="9"/>
        <v>105.75</v>
      </c>
      <c r="J192" t="s">
        <v>21</v>
      </c>
      <c r="K192" t="s">
        <v>22</v>
      </c>
      <c r="L192">
        <v>1370322000</v>
      </c>
      <c r="M192" s="9">
        <f t="shared" si="10"/>
        <v>41429.208333333336</v>
      </c>
      <c r="N192">
        <v>1370408400</v>
      </c>
      <c r="O192" s="9">
        <f t="shared" si="11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_xlfn.TEXTSPLIT(R192,"/")</f>
        <v>theater</v>
      </c>
      <c r="T192" t="str">
        <v>plays</v>
      </c>
    </row>
    <row r="193" spans="1:20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8"/>
        <v>0.3795</v>
      </c>
      <c r="G193" t="s">
        <v>14</v>
      </c>
      <c r="H193">
        <v>86</v>
      </c>
      <c r="I193" s="5">
        <f t="shared" si="9"/>
        <v>37.07</v>
      </c>
      <c r="J193" t="s">
        <v>107</v>
      </c>
      <c r="K193" t="s">
        <v>108</v>
      </c>
      <c r="L193">
        <v>1552366800</v>
      </c>
      <c r="M193" s="9">
        <f t="shared" si="10"/>
        <v>43536.208333333328</v>
      </c>
      <c r="N193">
        <v>1552626000</v>
      </c>
      <c r="O193" s="9">
        <f t="shared" si="11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_xlfn.TEXTSPLIT(R193,"/")</f>
        <v>theater</v>
      </c>
      <c r="T193" t="str">
        <v>plays</v>
      </c>
    </row>
    <row r="194" spans="1:20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8"/>
        <v>0.19989999999999999</v>
      </c>
      <c r="G194" t="s">
        <v>14</v>
      </c>
      <c r="H194">
        <v>243</v>
      </c>
      <c r="I194" s="5">
        <f t="shared" si="9"/>
        <v>35.049999999999997</v>
      </c>
      <c r="J194" t="s">
        <v>21</v>
      </c>
      <c r="K194" t="s">
        <v>22</v>
      </c>
      <c r="L194">
        <v>1403845200</v>
      </c>
      <c r="M194" s="9">
        <f t="shared" si="10"/>
        <v>41817.208333333336</v>
      </c>
      <c r="N194">
        <v>1404190800</v>
      </c>
      <c r="O194" s="9">
        <f t="shared" si="11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_xlfn.TEXTSPLIT(R194,"/")</f>
        <v>music</v>
      </c>
      <c r="T194" t="str">
        <v>rock</v>
      </c>
    </row>
    <row r="195" spans="1:20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ref="F195:F258" si="12">ROUND(E195/D195,4)</f>
        <v>0.45639999999999997</v>
      </c>
      <c r="G195" t="s">
        <v>14</v>
      </c>
      <c r="H195">
        <v>65</v>
      </c>
      <c r="I195" s="5">
        <f t="shared" ref="I195:I258" si="13">IF(H195=0,"0",(ROUND(E195/H195,2)))</f>
        <v>46.34</v>
      </c>
      <c r="J195" t="s">
        <v>21</v>
      </c>
      <c r="K195" t="s">
        <v>22</v>
      </c>
      <c r="L195">
        <v>1523163600</v>
      </c>
      <c r="M195" s="9">
        <f t="shared" ref="M195:M258" si="14">(((L195/60)/60)/24)+DATE(1970,1,1)</f>
        <v>43198.208333333328</v>
      </c>
      <c r="N195">
        <v>1523509200</v>
      </c>
      <c r="O195" s="9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_xlfn.TEXTSPLIT(R195,"/")</f>
        <v>music</v>
      </c>
      <c r="T195" t="str">
        <v>indie rock</v>
      </c>
    </row>
    <row r="196" spans="1:20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si="12"/>
        <v>1.2276</v>
      </c>
      <c r="G196" t="s">
        <v>20</v>
      </c>
      <c r="H196">
        <v>126</v>
      </c>
      <c r="I196" s="5">
        <f t="shared" si="13"/>
        <v>69.17</v>
      </c>
      <c r="J196" t="s">
        <v>21</v>
      </c>
      <c r="K196" t="s">
        <v>22</v>
      </c>
      <c r="L196">
        <v>1442206800</v>
      </c>
      <c r="M196" s="9">
        <f t="shared" si="14"/>
        <v>42261.208333333328</v>
      </c>
      <c r="N196">
        <v>1443589200</v>
      </c>
      <c r="O196" s="9">
        <f t="shared" si="15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_xlfn.TEXTSPLIT(R196,"/")</f>
        <v>music</v>
      </c>
      <c r="T196" t="str">
        <v>metal</v>
      </c>
    </row>
    <row r="197" spans="1:20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2"/>
        <v>3.6175000000000002</v>
      </c>
      <c r="G197" t="s">
        <v>20</v>
      </c>
      <c r="H197">
        <v>524</v>
      </c>
      <c r="I197" s="5">
        <f t="shared" si="13"/>
        <v>109.08</v>
      </c>
      <c r="J197" t="s">
        <v>21</v>
      </c>
      <c r="K197" t="s">
        <v>22</v>
      </c>
      <c r="L197">
        <v>1532840400</v>
      </c>
      <c r="M197" s="9">
        <f t="shared" si="14"/>
        <v>43310.208333333328</v>
      </c>
      <c r="N197">
        <v>1533445200</v>
      </c>
      <c r="O197" s="9">
        <f t="shared" si="15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_xlfn.TEXTSPLIT(R197,"/")</f>
        <v>music</v>
      </c>
      <c r="T197" t="str">
        <v>electric music</v>
      </c>
    </row>
    <row r="198" spans="1:20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2"/>
        <v>0.63149999999999995</v>
      </c>
      <c r="G198" t="s">
        <v>14</v>
      </c>
      <c r="H198">
        <v>100</v>
      </c>
      <c r="I198" s="5">
        <f t="shared" si="13"/>
        <v>51.78</v>
      </c>
      <c r="J198" t="s">
        <v>36</v>
      </c>
      <c r="K198" t="s">
        <v>37</v>
      </c>
      <c r="L198">
        <v>1472878800</v>
      </c>
      <c r="M198" s="9">
        <f t="shared" si="14"/>
        <v>42616.208333333328</v>
      </c>
      <c r="N198">
        <v>1474520400</v>
      </c>
      <c r="O198" s="9">
        <f t="shared" si="15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_xlfn.TEXTSPLIT(R198,"/")</f>
        <v>technology</v>
      </c>
      <c r="T198" t="str">
        <v>wearables</v>
      </c>
    </row>
    <row r="199" spans="1:20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2"/>
        <v>2.9820000000000002</v>
      </c>
      <c r="G199" t="s">
        <v>20</v>
      </c>
      <c r="H199">
        <v>1989</v>
      </c>
      <c r="I199" s="5">
        <f t="shared" si="13"/>
        <v>82.01</v>
      </c>
      <c r="J199" t="s">
        <v>21</v>
      </c>
      <c r="K199" t="s">
        <v>22</v>
      </c>
      <c r="L199">
        <v>1498194000</v>
      </c>
      <c r="M199" s="9">
        <f t="shared" si="14"/>
        <v>42909.208333333328</v>
      </c>
      <c r="N199">
        <v>1499403600</v>
      </c>
      <c r="O199" s="9">
        <f t="shared" si="15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_xlfn.TEXTSPLIT(R199,"/")</f>
        <v>film &amp; video</v>
      </c>
      <c r="T199" t="str">
        <v>drama</v>
      </c>
    </row>
    <row r="200" spans="1:20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2"/>
        <v>9.5600000000000004E-2</v>
      </c>
      <c r="G200" t="s">
        <v>14</v>
      </c>
      <c r="H200">
        <v>168</v>
      </c>
      <c r="I200" s="5">
        <f t="shared" si="13"/>
        <v>35.96</v>
      </c>
      <c r="J200" t="s">
        <v>21</v>
      </c>
      <c r="K200" t="s">
        <v>22</v>
      </c>
      <c r="L200">
        <v>1281070800</v>
      </c>
      <c r="M200" s="9">
        <f t="shared" si="14"/>
        <v>40396.208333333336</v>
      </c>
      <c r="N200">
        <v>1283576400</v>
      </c>
      <c r="O200" s="9">
        <f t="shared" si="15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_xlfn.TEXTSPLIT(R200,"/")</f>
        <v>music</v>
      </c>
      <c r="T200" t="str">
        <v>electric music</v>
      </c>
    </row>
    <row r="201" spans="1:20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2"/>
        <v>0.53779999999999994</v>
      </c>
      <c r="G201" t="s">
        <v>14</v>
      </c>
      <c r="H201">
        <v>13</v>
      </c>
      <c r="I201" s="5">
        <f t="shared" si="13"/>
        <v>74.459999999999994</v>
      </c>
      <c r="J201" t="s">
        <v>21</v>
      </c>
      <c r="K201" t="s">
        <v>22</v>
      </c>
      <c r="L201">
        <v>1436245200</v>
      </c>
      <c r="M201" s="9">
        <f t="shared" si="14"/>
        <v>42192.208333333328</v>
      </c>
      <c r="N201">
        <v>1436590800</v>
      </c>
      <c r="O201" s="9">
        <f t="shared" si="15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_xlfn.TEXTSPLIT(R201,"/")</f>
        <v>music</v>
      </c>
      <c r="T201" t="str">
        <v>rock</v>
      </c>
    </row>
    <row r="202" spans="1:20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2"/>
        <v>0.02</v>
      </c>
      <c r="G202" t="s">
        <v>14</v>
      </c>
      <c r="H202">
        <v>1</v>
      </c>
      <c r="I202" s="5">
        <f t="shared" si="13"/>
        <v>2</v>
      </c>
      <c r="J202" t="s">
        <v>15</v>
      </c>
      <c r="K202" t="s">
        <v>16</v>
      </c>
      <c r="L202">
        <v>1269493200</v>
      </c>
      <c r="M202" s="9">
        <f t="shared" si="14"/>
        <v>40262.208333333336</v>
      </c>
      <c r="N202">
        <v>1270443600</v>
      </c>
      <c r="O202" s="9">
        <f t="shared" si="15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_xlfn.TEXTSPLIT(R202,"/")</f>
        <v>theater</v>
      </c>
      <c r="T202" t="str">
        <v>plays</v>
      </c>
    </row>
    <row r="203" spans="1:20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2"/>
        <v>6.8118999999999996</v>
      </c>
      <c r="G203" t="s">
        <v>20</v>
      </c>
      <c r="H203">
        <v>157</v>
      </c>
      <c r="I203" s="5">
        <f t="shared" si="13"/>
        <v>91.11</v>
      </c>
      <c r="J203" t="s">
        <v>21</v>
      </c>
      <c r="K203" t="s">
        <v>22</v>
      </c>
      <c r="L203">
        <v>1406264400</v>
      </c>
      <c r="M203" s="9">
        <f t="shared" si="14"/>
        <v>41845.208333333336</v>
      </c>
      <c r="N203">
        <v>1407819600</v>
      </c>
      <c r="O203" s="9">
        <f t="shared" si="15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_xlfn.TEXTSPLIT(R203,"/")</f>
        <v>technology</v>
      </c>
      <c r="T203" t="str">
        <v>web</v>
      </c>
    </row>
    <row r="204" spans="1:20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2"/>
        <v>0.7883</v>
      </c>
      <c r="G204" t="s">
        <v>74</v>
      </c>
      <c r="H204">
        <v>82</v>
      </c>
      <c r="I204" s="5">
        <f t="shared" si="13"/>
        <v>79.790000000000006</v>
      </c>
      <c r="J204" t="s">
        <v>21</v>
      </c>
      <c r="K204" t="s">
        <v>22</v>
      </c>
      <c r="L204">
        <v>1317531600</v>
      </c>
      <c r="M204" s="9">
        <f t="shared" si="14"/>
        <v>40818.208333333336</v>
      </c>
      <c r="N204">
        <v>1317877200</v>
      </c>
      <c r="O204" s="9">
        <f t="shared" si="15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_xlfn.TEXTSPLIT(R204,"/")</f>
        <v>food</v>
      </c>
      <c r="T204" t="str">
        <v>food trucks</v>
      </c>
    </row>
    <row r="205" spans="1:20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2"/>
        <v>1.3441000000000001</v>
      </c>
      <c r="G205" t="s">
        <v>20</v>
      </c>
      <c r="H205">
        <v>4498</v>
      </c>
      <c r="I205" s="5">
        <f t="shared" si="13"/>
        <v>43</v>
      </c>
      <c r="J205" t="s">
        <v>26</v>
      </c>
      <c r="K205" t="s">
        <v>27</v>
      </c>
      <c r="L205">
        <v>1484632800</v>
      </c>
      <c r="M205" s="9">
        <f t="shared" si="14"/>
        <v>42752.25</v>
      </c>
      <c r="N205">
        <v>1484805600</v>
      </c>
      <c r="O205" s="9">
        <f t="shared" si="15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_xlfn.TEXTSPLIT(R205,"/")</f>
        <v>theater</v>
      </c>
      <c r="T205" t="str">
        <v>plays</v>
      </c>
    </row>
    <row r="206" spans="1:20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2"/>
        <v>3.3700000000000001E-2</v>
      </c>
      <c r="G206" t="s">
        <v>14</v>
      </c>
      <c r="H206">
        <v>40</v>
      </c>
      <c r="I206" s="5">
        <f t="shared" si="13"/>
        <v>63.23</v>
      </c>
      <c r="J206" t="s">
        <v>21</v>
      </c>
      <c r="K206" t="s">
        <v>22</v>
      </c>
      <c r="L206">
        <v>1301806800</v>
      </c>
      <c r="M206" s="9">
        <f t="shared" si="14"/>
        <v>40636.208333333336</v>
      </c>
      <c r="N206">
        <v>1302670800</v>
      </c>
      <c r="O206" s="9">
        <f t="shared" si="15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_xlfn.TEXTSPLIT(R206,"/")</f>
        <v>music</v>
      </c>
      <c r="T206" t="str">
        <v>jazz</v>
      </c>
    </row>
    <row r="207" spans="1:20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2"/>
        <v>4.3185000000000002</v>
      </c>
      <c r="G207" t="s">
        <v>20</v>
      </c>
      <c r="H207">
        <v>80</v>
      </c>
      <c r="I207" s="5">
        <f t="shared" si="13"/>
        <v>70.180000000000007</v>
      </c>
      <c r="J207" t="s">
        <v>21</v>
      </c>
      <c r="K207" t="s">
        <v>22</v>
      </c>
      <c r="L207">
        <v>1539752400</v>
      </c>
      <c r="M207" s="9">
        <f t="shared" si="14"/>
        <v>43390.208333333328</v>
      </c>
      <c r="N207">
        <v>1540789200</v>
      </c>
      <c r="O207" s="9">
        <f t="shared" si="15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_xlfn.TEXTSPLIT(R207,"/")</f>
        <v>theater</v>
      </c>
      <c r="T207" t="str">
        <v>plays</v>
      </c>
    </row>
    <row r="208" spans="1:20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2"/>
        <v>0.38840000000000002</v>
      </c>
      <c r="G208" t="s">
        <v>74</v>
      </c>
      <c r="H208">
        <v>57</v>
      </c>
      <c r="I208" s="5">
        <f t="shared" si="13"/>
        <v>61.33</v>
      </c>
      <c r="J208" t="s">
        <v>21</v>
      </c>
      <c r="K208" t="s">
        <v>22</v>
      </c>
      <c r="L208">
        <v>1267250400</v>
      </c>
      <c r="M208" s="9">
        <f t="shared" si="14"/>
        <v>40236.25</v>
      </c>
      <c r="N208">
        <v>1268028000</v>
      </c>
      <c r="O208" s="9">
        <f t="shared" si="15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_xlfn.TEXTSPLIT(R208,"/")</f>
        <v>publishing</v>
      </c>
      <c r="T208" t="str">
        <v>fiction</v>
      </c>
    </row>
    <row r="209" spans="1:20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2"/>
        <v>4.2569999999999997</v>
      </c>
      <c r="G209" t="s">
        <v>20</v>
      </c>
      <c r="H209">
        <v>43</v>
      </c>
      <c r="I209" s="5">
        <f t="shared" si="13"/>
        <v>99</v>
      </c>
      <c r="J209" t="s">
        <v>21</v>
      </c>
      <c r="K209" t="s">
        <v>22</v>
      </c>
      <c r="L209">
        <v>1535432400</v>
      </c>
      <c r="M209" s="9">
        <f t="shared" si="14"/>
        <v>43340.208333333328</v>
      </c>
      <c r="N209">
        <v>1537160400</v>
      </c>
      <c r="O209" s="9">
        <f t="shared" si="15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_xlfn.TEXTSPLIT(R209,"/")</f>
        <v>music</v>
      </c>
      <c r="T209" t="str">
        <v>rock</v>
      </c>
    </row>
    <row r="210" spans="1:20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2"/>
        <v>1.0112000000000001</v>
      </c>
      <c r="G210" t="s">
        <v>20</v>
      </c>
      <c r="H210">
        <v>2053</v>
      </c>
      <c r="I210" s="5">
        <f t="shared" si="13"/>
        <v>96.98</v>
      </c>
      <c r="J210" t="s">
        <v>21</v>
      </c>
      <c r="K210" t="s">
        <v>22</v>
      </c>
      <c r="L210">
        <v>1510207200</v>
      </c>
      <c r="M210" s="9">
        <f t="shared" si="14"/>
        <v>43048.25</v>
      </c>
      <c r="N210">
        <v>1512280800</v>
      </c>
      <c r="O210" s="9">
        <f t="shared" si="15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_xlfn.TEXTSPLIT(R210,"/")</f>
        <v>film &amp; video</v>
      </c>
      <c r="T210" t="str">
        <v>documentary</v>
      </c>
    </row>
    <row r="211" spans="1:20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2"/>
        <v>0.21190000000000001</v>
      </c>
      <c r="G211" t="s">
        <v>47</v>
      </c>
      <c r="H211">
        <v>808</v>
      </c>
      <c r="I211" s="5">
        <f t="shared" si="13"/>
        <v>51</v>
      </c>
      <c r="J211" t="s">
        <v>26</v>
      </c>
      <c r="K211" t="s">
        <v>27</v>
      </c>
      <c r="L211">
        <v>1462510800</v>
      </c>
      <c r="M211" s="9">
        <f t="shared" si="14"/>
        <v>42496.208333333328</v>
      </c>
      <c r="N211">
        <v>1463115600</v>
      </c>
      <c r="O211" s="9">
        <f t="shared" si="15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_xlfn.TEXTSPLIT(R211,"/")</f>
        <v>film &amp; video</v>
      </c>
      <c r="T211" t="str">
        <v>documentary</v>
      </c>
    </row>
    <row r="212" spans="1:20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2"/>
        <v>0.67430000000000001</v>
      </c>
      <c r="G212" t="s">
        <v>14</v>
      </c>
      <c r="H212">
        <v>226</v>
      </c>
      <c r="I212" s="5">
        <f t="shared" si="13"/>
        <v>28.04</v>
      </c>
      <c r="J212" t="s">
        <v>36</v>
      </c>
      <c r="K212" t="s">
        <v>37</v>
      </c>
      <c r="L212">
        <v>1488520800</v>
      </c>
      <c r="M212" s="9">
        <f t="shared" si="14"/>
        <v>42797.25</v>
      </c>
      <c r="N212">
        <v>1490850000</v>
      </c>
      <c r="O212" s="9">
        <f t="shared" si="15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_xlfn.TEXTSPLIT(R212,"/")</f>
        <v>film &amp; video</v>
      </c>
      <c r="T212" t="str">
        <v>science fiction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2"/>
        <v>0.94920000000000004</v>
      </c>
      <c r="G213" t="s">
        <v>14</v>
      </c>
      <c r="H213">
        <v>1625</v>
      </c>
      <c r="I213" s="5">
        <f t="shared" si="13"/>
        <v>60.98</v>
      </c>
      <c r="J213" t="s">
        <v>21</v>
      </c>
      <c r="K213" t="s">
        <v>22</v>
      </c>
      <c r="L213">
        <v>1377579600</v>
      </c>
      <c r="M213" s="9">
        <f t="shared" si="14"/>
        <v>41513.208333333336</v>
      </c>
      <c r="N213">
        <v>1379653200</v>
      </c>
      <c r="O213" s="9">
        <f t="shared" si="15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_xlfn.TEXTSPLIT(R213,"/")</f>
        <v>theater</v>
      </c>
      <c r="T213" t="str">
        <v>plays</v>
      </c>
    </row>
    <row r="214" spans="1:20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2"/>
        <v>1.5185</v>
      </c>
      <c r="G214" t="s">
        <v>20</v>
      </c>
      <c r="H214">
        <v>168</v>
      </c>
      <c r="I214" s="5">
        <f t="shared" si="13"/>
        <v>73.209999999999994</v>
      </c>
      <c r="J214" t="s">
        <v>21</v>
      </c>
      <c r="K214" t="s">
        <v>22</v>
      </c>
      <c r="L214">
        <v>1576389600</v>
      </c>
      <c r="M214" s="9">
        <f t="shared" si="14"/>
        <v>43814.25</v>
      </c>
      <c r="N214">
        <v>1580364000</v>
      </c>
      <c r="O214" s="9">
        <f t="shared" si="15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_xlfn.TEXTSPLIT(R214,"/")</f>
        <v>theater</v>
      </c>
      <c r="T214" t="str">
        <v>plays</v>
      </c>
    </row>
    <row r="215" spans="1:20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2"/>
        <v>1.9516</v>
      </c>
      <c r="G215" t="s">
        <v>20</v>
      </c>
      <c r="H215">
        <v>4289</v>
      </c>
      <c r="I215" s="5">
        <f t="shared" si="13"/>
        <v>40</v>
      </c>
      <c r="J215" t="s">
        <v>21</v>
      </c>
      <c r="K215" t="s">
        <v>22</v>
      </c>
      <c r="L215">
        <v>1289019600</v>
      </c>
      <c r="M215" s="9">
        <f t="shared" si="14"/>
        <v>40488.208333333336</v>
      </c>
      <c r="N215">
        <v>1289714400</v>
      </c>
      <c r="O215" s="9">
        <f t="shared" si="15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_xlfn.TEXTSPLIT(R215,"/")</f>
        <v>music</v>
      </c>
      <c r="T215" t="str">
        <v>indie rock</v>
      </c>
    </row>
    <row r="216" spans="1:20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2"/>
        <v>10.231400000000001</v>
      </c>
      <c r="G216" t="s">
        <v>20</v>
      </c>
      <c r="H216">
        <v>165</v>
      </c>
      <c r="I216" s="5">
        <f t="shared" si="13"/>
        <v>86.81</v>
      </c>
      <c r="J216" t="s">
        <v>21</v>
      </c>
      <c r="K216" t="s">
        <v>22</v>
      </c>
      <c r="L216">
        <v>1282194000</v>
      </c>
      <c r="M216" s="9">
        <f t="shared" si="14"/>
        <v>40409.208333333336</v>
      </c>
      <c r="N216">
        <v>1282712400</v>
      </c>
      <c r="O216" s="9">
        <f t="shared" si="15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_xlfn.TEXTSPLIT(R216,"/")</f>
        <v>music</v>
      </c>
      <c r="T216" t="str">
        <v>rock</v>
      </c>
    </row>
    <row r="217" spans="1:20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2"/>
        <v>3.8399999999999997E-2</v>
      </c>
      <c r="G217" t="s">
        <v>14</v>
      </c>
      <c r="H217">
        <v>143</v>
      </c>
      <c r="I217" s="5">
        <f t="shared" si="13"/>
        <v>42.13</v>
      </c>
      <c r="J217" t="s">
        <v>21</v>
      </c>
      <c r="K217" t="s">
        <v>22</v>
      </c>
      <c r="L217">
        <v>1550037600</v>
      </c>
      <c r="M217" s="9">
        <f t="shared" si="14"/>
        <v>43509.25</v>
      </c>
      <c r="N217">
        <v>1550210400</v>
      </c>
      <c r="O217" s="9">
        <f t="shared" si="15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_xlfn.TEXTSPLIT(R217,"/")</f>
        <v>theater</v>
      </c>
      <c r="T217" t="str">
        <v>plays</v>
      </c>
    </row>
    <row r="218" spans="1:20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2"/>
        <v>1.5507</v>
      </c>
      <c r="G218" t="s">
        <v>20</v>
      </c>
      <c r="H218">
        <v>1815</v>
      </c>
      <c r="I218" s="5">
        <f t="shared" si="13"/>
        <v>103.98</v>
      </c>
      <c r="J218" t="s">
        <v>21</v>
      </c>
      <c r="K218" t="s">
        <v>22</v>
      </c>
      <c r="L218">
        <v>1321941600</v>
      </c>
      <c r="M218" s="9">
        <f t="shared" si="14"/>
        <v>40869.25</v>
      </c>
      <c r="N218">
        <v>1322114400</v>
      </c>
      <c r="O218" s="9">
        <f t="shared" si="15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_xlfn.TEXTSPLIT(R218,"/")</f>
        <v>theater</v>
      </c>
      <c r="T218" t="str">
        <v>plays</v>
      </c>
    </row>
    <row r="219" spans="1:20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2"/>
        <v>0.44750000000000001</v>
      </c>
      <c r="G219" t="s">
        <v>14</v>
      </c>
      <c r="H219">
        <v>934</v>
      </c>
      <c r="I219" s="5">
        <f t="shared" si="13"/>
        <v>62</v>
      </c>
      <c r="J219" t="s">
        <v>21</v>
      </c>
      <c r="K219" t="s">
        <v>22</v>
      </c>
      <c r="L219">
        <v>1556427600</v>
      </c>
      <c r="M219" s="9">
        <f t="shared" si="14"/>
        <v>43583.208333333328</v>
      </c>
      <c r="N219">
        <v>1557205200</v>
      </c>
      <c r="O219" s="9">
        <f t="shared" si="15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_xlfn.TEXTSPLIT(R219,"/")</f>
        <v>film &amp; video</v>
      </c>
      <c r="T219" t="str">
        <v>science fiction</v>
      </c>
    </row>
    <row r="220" spans="1:20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2"/>
        <v>2.1595</v>
      </c>
      <c r="G220" t="s">
        <v>20</v>
      </c>
      <c r="H220">
        <v>397</v>
      </c>
      <c r="I220" s="5">
        <f t="shared" si="13"/>
        <v>31.01</v>
      </c>
      <c r="J220" t="s">
        <v>40</v>
      </c>
      <c r="K220" t="s">
        <v>41</v>
      </c>
      <c r="L220">
        <v>1320991200</v>
      </c>
      <c r="M220" s="9">
        <f t="shared" si="14"/>
        <v>40858.25</v>
      </c>
      <c r="N220">
        <v>1323928800</v>
      </c>
      <c r="O220" s="9">
        <f t="shared" si="15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_xlfn.TEXTSPLIT(R220,"/")</f>
        <v>film &amp; video</v>
      </c>
      <c r="T220" t="str">
        <v>shorts</v>
      </c>
    </row>
    <row r="221" spans="1:20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2"/>
        <v>3.3212999999999999</v>
      </c>
      <c r="G221" t="s">
        <v>20</v>
      </c>
      <c r="H221">
        <v>1539</v>
      </c>
      <c r="I221" s="5">
        <f t="shared" si="13"/>
        <v>89.99</v>
      </c>
      <c r="J221" t="s">
        <v>21</v>
      </c>
      <c r="K221" t="s">
        <v>22</v>
      </c>
      <c r="L221">
        <v>1345093200</v>
      </c>
      <c r="M221" s="9">
        <f t="shared" si="14"/>
        <v>41137.208333333336</v>
      </c>
      <c r="N221">
        <v>1346130000</v>
      </c>
      <c r="O221" s="9">
        <f t="shared" si="15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_xlfn.TEXTSPLIT(R221,"/")</f>
        <v>film &amp; video</v>
      </c>
      <c r="T221" t="str">
        <v>animation</v>
      </c>
    </row>
    <row r="222" spans="1:20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2"/>
        <v>8.4400000000000003E-2</v>
      </c>
      <c r="G222" t="s">
        <v>14</v>
      </c>
      <c r="H222">
        <v>17</v>
      </c>
      <c r="I222" s="5">
        <f t="shared" si="13"/>
        <v>39.24</v>
      </c>
      <c r="J222" t="s">
        <v>21</v>
      </c>
      <c r="K222" t="s">
        <v>22</v>
      </c>
      <c r="L222">
        <v>1309496400</v>
      </c>
      <c r="M222" s="9">
        <f t="shared" si="14"/>
        <v>40725.208333333336</v>
      </c>
      <c r="N222">
        <v>1311051600</v>
      </c>
      <c r="O222" s="9">
        <f t="shared" si="15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_xlfn.TEXTSPLIT(R222,"/")</f>
        <v>theater</v>
      </c>
      <c r="T222" t="str">
        <v>plays</v>
      </c>
    </row>
    <row r="223" spans="1:20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2"/>
        <v>0.98629999999999995</v>
      </c>
      <c r="G223" t="s">
        <v>14</v>
      </c>
      <c r="H223">
        <v>2179</v>
      </c>
      <c r="I223" s="5">
        <f t="shared" si="13"/>
        <v>54.99</v>
      </c>
      <c r="J223" t="s">
        <v>21</v>
      </c>
      <c r="K223" t="s">
        <v>22</v>
      </c>
      <c r="L223">
        <v>1340254800</v>
      </c>
      <c r="M223" s="9">
        <f t="shared" si="14"/>
        <v>41081.208333333336</v>
      </c>
      <c r="N223">
        <v>1340427600</v>
      </c>
      <c r="O223" s="9">
        <f t="shared" si="15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_xlfn.TEXTSPLIT(R223,"/")</f>
        <v>food</v>
      </c>
      <c r="T223" t="str">
        <v>food trucks</v>
      </c>
    </row>
    <row r="224" spans="1:20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2"/>
        <v>1.3797999999999999</v>
      </c>
      <c r="G224" t="s">
        <v>20</v>
      </c>
      <c r="H224">
        <v>138</v>
      </c>
      <c r="I224" s="5">
        <f t="shared" si="13"/>
        <v>47.99</v>
      </c>
      <c r="J224" t="s">
        <v>21</v>
      </c>
      <c r="K224" t="s">
        <v>22</v>
      </c>
      <c r="L224">
        <v>1412226000</v>
      </c>
      <c r="M224" s="9">
        <f t="shared" si="14"/>
        <v>41914.208333333336</v>
      </c>
      <c r="N224">
        <v>1412312400</v>
      </c>
      <c r="O224" s="9">
        <f t="shared" si="15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_xlfn.TEXTSPLIT(R224,"/")</f>
        <v>photography</v>
      </c>
      <c r="T224" t="str">
        <v>photography books</v>
      </c>
    </row>
    <row r="225" spans="1:20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2"/>
        <v>0.93810000000000004</v>
      </c>
      <c r="G225" t="s">
        <v>14</v>
      </c>
      <c r="H225">
        <v>931</v>
      </c>
      <c r="I225" s="5">
        <f t="shared" si="13"/>
        <v>87.97</v>
      </c>
      <c r="J225" t="s">
        <v>21</v>
      </c>
      <c r="K225" t="s">
        <v>22</v>
      </c>
      <c r="L225">
        <v>1458104400</v>
      </c>
      <c r="M225" s="9">
        <f t="shared" si="14"/>
        <v>42445.208333333328</v>
      </c>
      <c r="N225">
        <v>1459314000</v>
      </c>
      <c r="O225" s="9">
        <f t="shared" si="15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_xlfn.TEXTSPLIT(R225,"/")</f>
        <v>theater</v>
      </c>
      <c r="T225" t="str">
        <v>plays</v>
      </c>
    </row>
    <row r="226" spans="1:20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2"/>
        <v>4.0364000000000004</v>
      </c>
      <c r="G226" t="s">
        <v>20</v>
      </c>
      <c r="H226">
        <v>3594</v>
      </c>
      <c r="I226" s="5">
        <f t="shared" si="13"/>
        <v>52</v>
      </c>
      <c r="J226" t="s">
        <v>21</v>
      </c>
      <c r="K226" t="s">
        <v>22</v>
      </c>
      <c r="L226">
        <v>1411534800</v>
      </c>
      <c r="M226" s="9">
        <f t="shared" si="14"/>
        <v>41906.208333333336</v>
      </c>
      <c r="N226">
        <v>1415426400</v>
      </c>
      <c r="O226" s="9">
        <f t="shared" si="15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_xlfn.TEXTSPLIT(R226,"/")</f>
        <v>film &amp; video</v>
      </c>
      <c r="T226" t="str">
        <v>science fiction</v>
      </c>
    </row>
    <row r="227" spans="1:20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2"/>
        <v>2.6017000000000001</v>
      </c>
      <c r="G227" t="s">
        <v>20</v>
      </c>
      <c r="H227">
        <v>5880</v>
      </c>
      <c r="I227" s="5">
        <f t="shared" si="13"/>
        <v>30</v>
      </c>
      <c r="J227" t="s">
        <v>21</v>
      </c>
      <c r="K227" t="s">
        <v>22</v>
      </c>
      <c r="L227">
        <v>1399093200</v>
      </c>
      <c r="M227" s="9">
        <f t="shared" si="14"/>
        <v>41762.208333333336</v>
      </c>
      <c r="N227">
        <v>1399093200</v>
      </c>
      <c r="O227" s="9">
        <f t="shared" si="15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_xlfn.TEXTSPLIT(R227,"/")</f>
        <v>music</v>
      </c>
      <c r="T227" t="str">
        <v>rock</v>
      </c>
    </row>
    <row r="228" spans="1:20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2"/>
        <v>3.6663000000000001</v>
      </c>
      <c r="G228" t="s">
        <v>20</v>
      </c>
      <c r="H228">
        <v>112</v>
      </c>
      <c r="I228" s="5">
        <f t="shared" si="13"/>
        <v>98.21</v>
      </c>
      <c r="J228" t="s">
        <v>21</v>
      </c>
      <c r="K228" t="s">
        <v>22</v>
      </c>
      <c r="L228">
        <v>1270702800</v>
      </c>
      <c r="M228" s="9">
        <f t="shared" si="14"/>
        <v>40276.208333333336</v>
      </c>
      <c r="N228">
        <v>1273899600</v>
      </c>
      <c r="O228" s="9">
        <f t="shared" si="15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_xlfn.TEXTSPLIT(R228,"/")</f>
        <v>photography</v>
      </c>
      <c r="T228" t="str">
        <v>photography books</v>
      </c>
    </row>
    <row r="229" spans="1:20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2"/>
        <v>1.6872</v>
      </c>
      <c r="G229" t="s">
        <v>20</v>
      </c>
      <c r="H229">
        <v>943</v>
      </c>
      <c r="I229" s="5">
        <f t="shared" si="13"/>
        <v>108.96</v>
      </c>
      <c r="J229" t="s">
        <v>21</v>
      </c>
      <c r="K229" t="s">
        <v>22</v>
      </c>
      <c r="L229">
        <v>1431666000</v>
      </c>
      <c r="M229" s="9">
        <f t="shared" si="14"/>
        <v>42139.208333333328</v>
      </c>
      <c r="N229">
        <v>1432184400</v>
      </c>
      <c r="O229" s="9">
        <f t="shared" si="15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_xlfn.TEXTSPLIT(R229,"/")</f>
        <v>games</v>
      </c>
      <c r="T229" t="str">
        <v>mobile games</v>
      </c>
    </row>
    <row r="230" spans="1:20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2"/>
        <v>1.1991000000000001</v>
      </c>
      <c r="G230" t="s">
        <v>20</v>
      </c>
      <c r="H230">
        <v>2468</v>
      </c>
      <c r="I230" s="5">
        <f t="shared" si="13"/>
        <v>67</v>
      </c>
      <c r="J230" t="s">
        <v>21</v>
      </c>
      <c r="K230" t="s">
        <v>22</v>
      </c>
      <c r="L230">
        <v>1472619600</v>
      </c>
      <c r="M230" s="9">
        <f t="shared" si="14"/>
        <v>42613.208333333328</v>
      </c>
      <c r="N230">
        <v>1474779600</v>
      </c>
      <c r="O230" s="9">
        <f t="shared" si="15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_xlfn.TEXTSPLIT(R230,"/")</f>
        <v>film &amp; video</v>
      </c>
      <c r="T230" t="str">
        <v>animation</v>
      </c>
    </row>
    <row r="231" spans="1:20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2"/>
        <v>1.9369000000000001</v>
      </c>
      <c r="G231" t="s">
        <v>20</v>
      </c>
      <c r="H231">
        <v>2551</v>
      </c>
      <c r="I231" s="5">
        <f t="shared" si="13"/>
        <v>64.989999999999995</v>
      </c>
      <c r="J231" t="s">
        <v>21</v>
      </c>
      <c r="K231" t="s">
        <v>22</v>
      </c>
      <c r="L231">
        <v>1496293200</v>
      </c>
      <c r="M231" s="9">
        <f t="shared" si="14"/>
        <v>42887.208333333328</v>
      </c>
      <c r="N231">
        <v>1500440400</v>
      </c>
      <c r="O231" s="9">
        <f t="shared" si="15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_xlfn.TEXTSPLIT(R231,"/")</f>
        <v>games</v>
      </c>
      <c r="T231" t="str">
        <v>mobile games</v>
      </c>
    </row>
    <row r="232" spans="1:20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2"/>
        <v>4.2016999999999998</v>
      </c>
      <c r="G232" t="s">
        <v>20</v>
      </c>
      <c r="H232">
        <v>101</v>
      </c>
      <c r="I232" s="5">
        <f t="shared" si="13"/>
        <v>99.84</v>
      </c>
      <c r="J232" t="s">
        <v>21</v>
      </c>
      <c r="K232" t="s">
        <v>22</v>
      </c>
      <c r="L232">
        <v>1575612000</v>
      </c>
      <c r="M232" s="9">
        <f t="shared" si="14"/>
        <v>43805.25</v>
      </c>
      <c r="N232">
        <v>1575612000</v>
      </c>
      <c r="O232" s="9">
        <f t="shared" si="15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_xlfn.TEXTSPLIT(R232,"/")</f>
        <v>games</v>
      </c>
      <c r="T232" t="str">
        <v>video games</v>
      </c>
    </row>
    <row r="233" spans="1:20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2"/>
        <v>0.7671</v>
      </c>
      <c r="G233" t="s">
        <v>74</v>
      </c>
      <c r="H233">
        <v>67</v>
      </c>
      <c r="I233" s="5">
        <f t="shared" si="13"/>
        <v>82.43</v>
      </c>
      <c r="J233" t="s">
        <v>21</v>
      </c>
      <c r="K233" t="s">
        <v>22</v>
      </c>
      <c r="L233">
        <v>1369112400</v>
      </c>
      <c r="M233" s="9">
        <f t="shared" si="14"/>
        <v>41415.208333333336</v>
      </c>
      <c r="N233">
        <v>1374123600</v>
      </c>
      <c r="O233" s="9">
        <f t="shared" si="15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_xlfn.TEXTSPLIT(R233,"/")</f>
        <v>theater</v>
      </c>
      <c r="T233" t="str">
        <v>plays</v>
      </c>
    </row>
    <row r="234" spans="1:20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2"/>
        <v>1.7125999999999999</v>
      </c>
      <c r="G234" t="s">
        <v>20</v>
      </c>
      <c r="H234">
        <v>92</v>
      </c>
      <c r="I234" s="5">
        <f t="shared" si="13"/>
        <v>63.29</v>
      </c>
      <c r="J234" t="s">
        <v>21</v>
      </c>
      <c r="K234" t="s">
        <v>22</v>
      </c>
      <c r="L234">
        <v>1469422800</v>
      </c>
      <c r="M234" s="9">
        <f t="shared" si="14"/>
        <v>42576.208333333328</v>
      </c>
      <c r="N234">
        <v>1469509200</v>
      </c>
      <c r="O234" s="9">
        <f t="shared" si="15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_xlfn.TEXTSPLIT(R234,"/")</f>
        <v>theater</v>
      </c>
      <c r="T234" t="str">
        <v>plays</v>
      </c>
    </row>
    <row r="235" spans="1:20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2"/>
        <v>1.5789</v>
      </c>
      <c r="G235" t="s">
        <v>20</v>
      </c>
      <c r="H235">
        <v>62</v>
      </c>
      <c r="I235" s="5">
        <f t="shared" si="13"/>
        <v>96.77</v>
      </c>
      <c r="J235" t="s">
        <v>21</v>
      </c>
      <c r="K235" t="s">
        <v>22</v>
      </c>
      <c r="L235">
        <v>1307854800</v>
      </c>
      <c r="M235" s="9">
        <f t="shared" si="14"/>
        <v>40706.208333333336</v>
      </c>
      <c r="N235">
        <v>1309237200</v>
      </c>
      <c r="O235" s="9">
        <f t="shared" si="15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_xlfn.TEXTSPLIT(R235,"/")</f>
        <v>film &amp; video</v>
      </c>
      <c r="T235" t="str">
        <v>animation</v>
      </c>
    </row>
    <row r="236" spans="1:20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2"/>
        <v>1.0908</v>
      </c>
      <c r="G236" t="s">
        <v>20</v>
      </c>
      <c r="H236">
        <v>149</v>
      </c>
      <c r="I236" s="5">
        <f t="shared" si="13"/>
        <v>54.91</v>
      </c>
      <c r="J236" t="s">
        <v>107</v>
      </c>
      <c r="K236" t="s">
        <v>108</v>
      </c>
      <c r="L236">
        <v>1503378000</v>
      </c>
      <c r="M236" s="9">
        <f t="shared" si="14"/>
        <v>42969.208333333328</v>
      </c>
      <c r="N236">
        <v>1503982800</v>
      </c>
      <c r="O236" s="9">
        <f t="shared" si="15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_xlfn.TEXTSPLIT(R236,"/")</f>
        <v>games</v>
      </c>
      <c r="T236" t="str">
        <v>video games</v>
      </c>
    </row>
    <row r="237" spans="1:20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2"/>
        <v>0.4173</v>
      </c>
      <c r="G237" t="s">
        <v>14</v>
      </c>
      <c r="H237">
        <v>92</v>
      </c>
      <c r="I237" s="5">
        <f t="shared" si="13"/>
        <v>39.01</v>
      </c>
      <c r="J237" t="s">
        <v>21</v>
      </c>
      <c r="K237" t="s">
        <v>22</v>
      </c>
      <c r="L237">
        <v>1486965600</v>
      </c>
      <c r="M237" s="9">
        <f t="shared" si="14"/>
        <v>42779.25</v>
      </c>
      <c r="N237">
        <v>1487397600</v>
      </c>
      <c r="O237" s="9">
        <f t="shared" si="15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_xlfn.TEXTSPLIT(R237,"/")</f>
        <v>film &amp; video</v>
      </c>
      <c r="T237" t="str">
        <v>animation</v>
      </c>
    </row>
    <row r="238" spans="1:20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2"/>
        <v>0.1094</v>
      </c>
      <c r="G238" t="s">
        <v>14</v>
      </c>
      <c r="H238">
        <v>57</v>
      </c>
      <c r="I238" s="5">
        <f t="shared" si="13"/>
        <v>75.84</v>
      </c>
      <c r="J238" t="s">
        <v>26</v>
      </c>
      <c r="K238" t="s">
        <v>27</v>
      </c>
      <c r="L238">
        <v>1561438800</v>
      </c>
      <c r="M238" s="9">
        <f t="shared" si="14"/>
        <v>43641.208333333328</v>
      </c>
      <c r="N238">
        <v>1562043600</v>
      </c>
      <c r="O238" s="9">
        <f t="shared" si="15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_xlfn.TEXTSPLIT(R238,"/")</f>
        <v>music</v>
      </c>
      <c r="T238" t="str">
        <v>rock</v>
      </c>
    </row>
    <row r="239" spans="1:20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2"/>
        <v>1.5938000000000001</v>
      </c>
      <c r="G239" t="s">
        <v>20</v>
      </c>
      <c r="H239">
        <v>329</v>
      </c>
      <c r="I239" s="5">
        <f t="shared" si="13"/>
        <v>45.05</v>
      </c>
      <c r="J239" t="s">
        <v>21</v>
      </c>
      <c r="K239" t="s">
        <v>22</v>
      </c>
      <c r="L239">
        <v>1398402000</v>
      </c>
      <c r="M239" s="9">
        <f t="shared" si="14"/>
        <v>41754.208333333336</v>
      </c>
      <c r="N239">
        <v>1398574800</v>
      </c>
      <c r="O239" s="9">
        <f t="shared" si="15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_xlfn.TEXTSPLIT(R239,"/")</f>
        <v>film &amp; video</v>
      </c>
      <c r="T239" t="str">
        <v>animation</v>
      </c>
    </row>
    <row r="240" spans="1:20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2"/>
        <v>4.2241999999999997</v>
      </c>
      <c r="G240" t="s">
        <v>20</v>
      </c>
      <c r="H240">
        <v>97</v>
      </c>
      <c r="I240" s="5">
        <f t="shared" si="13"/>
        <v>104.52</v>
      </c>
      <c r="J240" t="s">
        <v>36</v>
      </c>
      <c r="K240" t="s">
        <v>37</v>
      </c>
      <c r="L240">
        <v>1513231200</v>
      </c>
      <c r="M240" s="9">
        <f t="shared" si="14"/>
        <v>43083.25</v>
      </c>
      <c r="N240">
        <v>1515391200</v>
      </c>
      <c r="O240" s="9">
        <f t="shared" si="15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_xlfn.TEXTSPLIT(R240,"/")</f>
        <v>theater</v>
      </c>
      <c r="T240" t="str">
        <v>plays</v>
      </c>
    </row>
    <row r="241" spans="1:20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2"/>
        <v>0.97719999999999996</v>
      </c>
      <c r="G241" t="s">
        <v>14</v>
      </c>
      <c r="H241">
        <v>41</v>
      </c>
      <c r="I241" s="5">
        <f t="shared" si="13"/>
        <v>76.27</v>
      </c>
      <c r="J241" t="s">
        <v>21</v>
      </c>
      <c r="K241" t="s">
        <v>22</v>
      </c>
      <c r="L241">
        <v>1440824400</v>
      </c>
      <c r="M241" s="9">
        <f t="shared" si="14"/>
        <v>42245.208333333328</v>
      </c>
      <c r="N241">
        <v>1441170000</v>
      </c>
      <c r="O241" s="9">
        <f t="shared" si="15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_xlfn.TEXTSPLIT(R241,"/")</f>
        <v>technology</v>
      </c>
      <c r="T241" t="str">
        <v>wearables</v>
      </c>
    </row>
    <row r="242" spans="1:20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2"/>
        <v>4.1879</v>
      </c>
      <c r="G242" t="s">
        <v>20</v>
      </c>
      <c r="H242">
        <v>1784</v>
      </c>
      <c r="I242" s="5">
        <f t="shared" si="13"/>
        <v>69.02</v>
      </c>
      <c r="J242" t="s">
        <v>21</v>
      </c>
      <c r="K242" t="s">
        <v>22</v>
      </c>
      <c r="L242">
        <v>1281070800</v>
      </c>
      <c r="M242" s="9">
        <f t="shared" si="14"/>
        <v>40396.208333333336</v>
      </c>
      <c r="N242">
        <v>1281157200</v>
      </c>
      <c r="O242" s="9">
        <f t="shared" si="15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_xlfn.TEXTSPLIT(R242,"/")</f>
        <v>theater</v>
      </c>
      <c r="T242" t="str">
        <v>plays</v>
      </c>
    </row>
    <row r="243" spans="1:20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2"/>
        <v>1.0192000000000001</v>
      </c>
      <c r="G243" t="s">
        <v>20</v>
      </c>
      <c r="H243">
        <v>1684</v>
      </c>
      <c r="I243" s="5">
        <f t="shared" si="13"/>
        <v>101.98</v>
      </c>
      <c r="J243" t="s">
        <v>26</v>
      </c>
      <c r="K243" t="s">
        <v>27</v>
      </c>
      <c r="L243">
        <v>1397365200</v>
      </c>
      <c r="M243" s="9">
        <f t="shared" si="14"/>
        <v>41742.208333333336</v>
      </c>
      <c r="N243">
        <v>1398229200</v>
      </c>
      <c r="O243" s="9">
        <f t="shared" si="15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_xlfn.TEXTSPLIT(R243,"/")</f>
        <v>publishing</v>
      </c>
      <c r="T243" t="str">
        <v>nonfiction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2"/>
        <v>1.2773000000000001</v>
      </c>
      <c r="G244" t="s">
        <v>20</v>
      </c>
      <c r="H244">
        <v>250</v>
      </c>
      <c r="I244" s="5">
        <f t="shared" si="13"/>
        <v>42.92</v>
      </c>
      <c r="J244" t="s">
        <v>21</v>
      </c>
      <c r="K244" t="s">
        <v>22</v>
      </c>
      <c r="L244">
        <v>1494392400</v>
      </c>
      <c r="M244" s="9">
        <f t="shared" si="14"/>
        <v>42865.208333333328</v>
      </c>
      <c r="N244">
        <v>1495256400</v>
      </c>
      <c r="O244" s="9">
        <f t="shared" si="15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_xlfn.TEXTSPLIT(R244,"/")</f>
        <v>music</v>
      </c>
      <c r="T244" t="str">
        <v>rock</v>
      </c>
    </row>
    <row r="245" spans="1:20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2"/>
        <v>4.4522000000000004</v>
      </c>
      <c r="G245" t="s">
        <v>20</v>
      </c>
      <c r="H245">
        <v>238</v>
      </c>
      <c r="I245" s="5">
        <f t="shared" si="13"/>
        <v>43.03</v>
      </c>
      <c r="J245" t="s">
        <v>21</v>
      </c>
      <c r="K245" t="s">
        <v>22</v>
      </c>
      <c r="L245">
        <v>1520143200</v>
      </c>
      <c r="M245" s="9">
        <f t="shared" si="14"/>
        <v>43163.25</v>
      </c>
      <c r="N245">
        <v>1520402400</v>
      </c>
      <c r="O245" s="9">
        <f t="shared" si="15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_xlfn.TEXTSPLIT(R245,"/")</f>
        <v>theater</v>
      </c>
      <c r="T245" t="str">
        <v>plays</v>
      </c>
    </row>
    <row r="246" spans="1:20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2"/>
        <v>5.6970999999999998</v>
      </c>
      <c r="G246" t="s">
        <v>20</v>
      </c>
      <c r="H246">
        <v>53</v>
      </c>
      <c r="I246" s="5">
        <f t="shared" si="13"/>
        <v>75.25</v>
      </c>
      <c r="J246" t="s">
        <v>21</v>
      </c>
      <c r="K246" t="s">
        <v>22</v>
      </c>
      <c r="L246">
        <v>1405314000</v>
      </c>
      <c r="M246" s="9">
        <f t="shared" si="14"/>
        <v>41834.208333333336</v>
      </c>
      <c r="N246">
        <v>1409806800</v>
      </c>
      <c r="O246" s="9">
        <f t="shared" si="15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_xlfn.TEXTSPLIT(R246,"/")</f>
        <v>theater</v>
      </c>
      <c r="T246" t="str">
        <v>plays</v>
      </c>
    </row>
    <row r="247" spans="1:20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2"/>
        <v>5.0933999999999999</v>
      </c>
      <c r="G247" t="s">
        <v>20</v>
      </c>
      <c r="H247">
        <v>214</v>
      </c>
      <c r="I247" s="5">
        <f t="shared" si="13"/>
        <v>69.02</v>
      </c>
      <c r="J247" t="s">
        <v>21</v>
      </c>
      <c r="K247" t="s">
        <v>22</v>
      </c>
      <c r="L247">
        <v>1396846800</v>
      </c>
      <c r="M247" s="9">
        <f t="shared" si="14"/>
        <v>41736.208333333336</v>
      </c>
      <c r="N247">
        <v>1396933200</v>
      </c>
      <c r="O247" s="9">
        <f t="shared" si="15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_xlfn.TEXTSPLIT(R247,"/")</f>
        <v>theater</v>
      </c>
      <c r="T247" t="str">
        <v>plays</v>
      </c>
    </row>
    <row r="248" spans="1:20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2"/>
        <v>3.2553000000000001</v>
      </c>
      <c r="G248" t="s">
        <v>20</v>
      </c>
      <c r="H248">
        <v>222</v>
      </c>
      <c r="I248" s="5">
        <f t="shared" si="13"/>
        <v>65.989999999999995</v>
      </c>
      <c r="J248" t="s">
        <v>21</v>
      </c>
      <c r="K248" t="s">
        <v>22</v>
      </c>
      <c r="L248">
        <v>1375678800</v>
      </c>
      <c r="M248" s="9">
        <f t="shared" si="14"/>
        <v>41491.208333333336</v>
      </c>
      <c r="N248">
        <v>1376024400</v>
      </c>
      <c r="O248" s="9">
        <f t="shared" si="15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_xlfn.TEXTSPLIT(R248,"/")</f>
        <v>technology</v>
      </c>
      <c r="T248" t="str">
        <v>web</v>
      </c>
    </row>
    <row r="249" spans="1:20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2"/>
        <v>9.3262</v>
      </c>
      <c r="G249" t="s">
        <v>20</v>
      </c>
      <c r="H249">
        <v>1884</v>
      </c>
      <c r="I249" s="5">
        <f t="shared" si="13"/>
        <v>98.01</v>
      </c>
      <c r="J249" t="s">
        <v>21</v>
      </c>
      <c r="K249" t="s">
        <v>22</v>
      </c>
      <c r="L249">
        <v>1482386400</v>
      </c>
      <c r="M249" s="9">
        <f t="shared" si="14"/>
        <v>42726.25</v>
      </c>
      <c r="N249">
        <v>1483682400</v>
      </c>
      <c r="O249" s="9">
        <f t="shared" si="15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_xlfn.TEXTSPLIT(R249,"/")</f>
        <v>publishing</v>
      </c>
      <c r="T249" t="str">
        <v>fiction</v>
      </c>
    </row>
    <row r="250" spans="1:20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2"/>
        <v>2.1133999999999999</v>
      </c>
      <c r="G250" t="s">
        <v>20</v>
      </c>
      <c r="H250">
        <v>218</v>
      </c>
      <c r="I250" s="5">
        <f t="shared" si="13"/>
        <v>60.11</v>
      </c>
      <c r="J250" t="s">
        <v>26</v>
      </c>
      <c r="K250" t="s">
        <v>27</v>
      </c>
      <c r="L250">
        <v>1420005600</v>
      </c>
      <c r="M250" s="9">
        <f t="shared" si="14"/>
        <v>42004.25</v>
      </c>
      <c r="N250">
        <v>1420437600</v>
      </c>
      <c r="O250" s="9">
        <f t="shared" si="15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_xlfn.TEXTSPLIT(R250,"/")</f>
        <v>games</v>
      </c>
      <c r="T250" t="str">
        <v>mobile games</v>
      </c>
    </row>
    <row r="251" spans="1:20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2"/>
        <v>2.7332999999999998</v>
      </c>
      <c r="G251" t="s">
        <v>20</v>
      </c>
      <c r="H251">
        <v>6465</v>
      </c>
      <c r="I251" s="5">
        <f t="shared" si="13"/>
        <v>26</v>
      </c>
      <c r="J251" t="s">
        <v>21</v>
      </c>
      <c r="K251" t="s">
        <v>22</v>
      </c>
      <c r="L251">
        <v>1420178400</v>
      </c>
      <c r="M251" s="9">
        <f t="shared" si="14"/>
        <v>42006.25</v>
      </c>
      <c r="N251">
        <v>1420783200</v>
      </c>
      <c r="O251" s="9">
        <f t="shared" si="15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_xlfn.TEXTSPLIT(R251,"/")</f>
        <v>publishing</v>
      </c>
      <c r="T251" t="str">
        <v>translations</v>
      </c>
    </row>
    <row r="252" spans="1:20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2"/>
        <v>0.03</v>
      </c>
      <c r="G252" t="s">
        <v>14</v>
      </c>
      <c r="H252">
        <v>1</v>
      </c>
      <c r="I252" s="5">
        <f t="shared" si="13"/>
        <v>3</v>
      </c>
      <c r="J252" t="s">
        <v>21</v>
      </c>
      <c r="K252" t="s">
        <v>22</v>
      </c>
      <c r="L252">
        <v>1264399200</v>
      </c>
      <c r="M252" s="9">
        <f t="shared" si="14"/>
        <v>40203.25</v>
      </c>
      <c r="N252">
        <v>1267423200</v>
      </c>
      <c r="O252" s="9">
        <f t="shared" si="15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_xlfn.TEXTSPLIT(R252,"/")</f>
        <v>music</v>
      </c>
      <c r="T252" t="str">
        <v>rock</v>
      </c>
    </row>
    <row r="253" spans="1:20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2"/>
        <v>0.54079999999999995</v>
      </c>
      <c r="G253" t="s">
        <v>14</v>
      </c>
      <c r="H253">
        <v>101</v>
      </c>
      <c r="I253" s="5">
        <f t="shared" si="13"/>
        <v>38.020000000000003</v>
      </c>
      <c r="J253" t="s">
        <v>21</v>
      </c>
      <c r="K253" t="s">
        <v>22</v>
      </c>
      <c r="L253">
        <v>1355032800</v>
      </c>
      <c r="M253" s="9">
        <f t="shared" si="14"/>
        <v>41252.25</v>
      </c>
      <c r="N253">
        <v>1355205600</v>
      </c>
      <c r="O253" s="9">
        <f t="shared" si="15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_xlfn.TEXTSPLIT(R253,"/")</f>
        <v>theater</v>
      </c>
      <c r="T253" t="str">
        <v>plays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2"/>
        <v>6.2629999999999999</v>
      </c>
      <c r="G254" t="s">
        <v>20</v>
      </c>
      <c r="H254">
        <v>59</v>
      </c>
      <c r="I254" s="5">
        <f t="shared" si="13"/>
        <v>106.15</v>
      </c>
      <c r="J254" t="s">
        <v>21</v>
      </c>
      <c r="K254" t="s">
        <v>22</v>
      </c>
      <c r="L254">
        <v>1382677200</v>
      </c>
      <c r="M254" s="9">
        <f t="shared" si="14"/>
        <v>41572.208333333336</v>
      </c>
      <c r="N254">
        <v>1383109200</v>
      </c>
      <c r="O254" s="9">
        <f t="shared" si="15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_xlfn.TEXTSPLIT(R254,"/")</f>
        <v>theater</v>
      </c>
      <c r="T254" t="str">
        <v>plays</v>
      </c>
    </row>
    <row r="255" spans="1:20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2"/>
        <v>0.89019999999999999</v>
      </c>
      <c r="G255" t="s">
        <v>14</v>
      </c>
      <c r="H255">
        <v>1335</v>
      </c>
      <c r="I255" s="5">
        <f t="shared" si="13"/>
        <v>81.02</v>
      </c>
      <c r="J255" t="s">
        <v>15</v>
      </c>
      <c r="K255" t="s">
        <v>16</v>
      </c>
      <c r="L255">
        <v>1302238800</v>
      </c>
      <c r="M255" s="9">
        <f t="shared" si="14"/>
        <v>40641.208333333336</v>
      </c>
      <c r="N255">
        <v>1303275600</v>
      </c>
      <c r="O255" s="9">
        <f t="shared" si="15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_xlfn.TEXTSPLIT(R255,"/")</f>
        <v>film &amp; video</v>
      </c>
      <c r="T255" t="str">
        <v>drama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2"/>
        <v>1.8489</v>
      </c>
      <c r="G256" t="s">
        <v>20</v>
      </c>
      <c r="H256">
        <v>88</v>
      </c>
      <c r="I256" s="5">
        <f t="shared" si="13"/>
        <v>96.65</v>
      </c>
      <c r="J256" t="s">
        <v>21</v>
      </c>
      <c r="K256" t="s">
        <v>22</v>
      </c>
      <c r="L256">
        <v>1487656800</v>
      </c>
      <c r="M256" s="9">
        <f t="shared" si="14"/>
        <v>42787.25</v>
      </c>
      <c r="N256">
        <v>1487829600</v>
      </c>
      <c r="O256" s="9">
        <f t="shared" si="15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_xlfn.TEXTSPLIT(R256,"/")</f>
        <v>publishing</v>
      </c>
      <c r="T256" t="str">
        <v>nonfiction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2"/>
        <v>1.2017</v>
      </c>
      <c r="G257" t="s">
        <v>20</v>
      </c>
      <c r="H257">
        <v>1697</v>
      </c>
      <c r="I257" s="5">
        <f t="shared" si="13"/>
        <v>57</v>
      </c>
      <c r="J257" t="s">
        <v>21</v>
      </c>
      <c r="K257" t="s">
        <v>22</v>
      </c>
      <c r="L257">
        <v>1297836000</v>
      </c>
      <c r="M257" s="9">
        <f t="shared" si="14"/>
        <v>40590.25</v>
      </c>
      <c r="N257">
        <v>1298268000</v>
      </c>
      <c r="O257" s="9">
        <f t="shared" si="15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_xlfn.TEXTSPLIT(R257,"/")</f>
        <v>music</v>
      </c>
      <c r="T257" t="str">
        <v>rock</v>
      </c>
    </row>
    <row r="258" spans="1:20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2"/>
        <v>0.2339</v>
      </c>
      <c r="G258" t="s">
        <v>14</v>
      </c>
      <c r="H258">
        <v>15</v>
      </c>
      <c r="I258" s="5">
        <f t="shared" si="13"/>
        <v>63.93</v>
      </c>
      <c r="J258" t="s">
        <v>40</v>
      </c>
      <c r="K258" t="s">
        <v>41</v>
      </c>
      <c r="L258">
        <v>1453615200</v>
      </c>
      <c r="M258" s="9">
        <f t="shared" si="14"/>
        <v>42393.25</v>
      </c>
      <c r="N258">
        <v>1456812000</v>
      </c>
      <c r="O258" s="9">
        <f t="shared" si="15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_xlfn.TEXTSPLIT(R258,"/")</f>
        <v>music</v>
      </c>
      <c r="T258" t="str">
        <v>rock</v>
      </c>
    </row>
    <row r="259" spans="1:20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ref="F259:F322" si="16">ROUND(E259/D259,4)</f>
        <v>1.46</v>
      </c>
      <c r="G259" t="s">
        <v>20</v>
      </c>
      <c r="H259">
        <v>92</v>
      </c>
      <c r="I259" s="5">
        <f t="shared" ref="I259:I322" si="17">IF(H259=0,"0",(ROUND(E259/H259,2)))</f>
        <v>90.46</v>
      </c>
      <c r="J259" t="s">
        <v>21</v>
      </c>
      <c r="K259" t="s">
        <v>22</v>
      </c>
      <c r="L259">
        <v>1362463200</v>
      </c>
      <c r="M259" s="9">
        <f t="shared" ref="M259:M322" si="18">(((L259/60)/60)/24)+DATE(1970,1,1)</f>
        <v>41338.25</v>
      </c>
      <c r="N259">
        <v>1363669200</v>
      </c>
      <c r="O259" s="9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_xlfn.TEXTSPLIT(R259,"/")</f>
        <v>theater</v>
      </c>
      <c r="T259" t="str">
        <v>plays</v>
      </c>
    </row>
    <row r="260" spans="1:20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si="16"/>
        <v>2.6848000000000001</v>
      </c>
      <c r="G260" t="s">
        <v>20</v>
      </c>
      <c r="H260">
        <v>186</v>
      </c>
      <c r="I260" s="5">
        <f t="shared" si="17"/>
        <v>72.17</v>
      </c>
      <c r="J260" t="s">
        <v>21</v>
      </c>
      <c r="K260" t="s">
        <v>22</v>
      </c>
      <c r="L260">
        <v>1481176800</v>
      </c>
      <c r="M260" s="9">
        <f t="shared" si="18"/>
        <v>42712.25</v>
      </c>
      <c r="N260">
        <v>1482904800</v>
      </c>
      <c r="O260" s="9">
        <f t="shared" si="19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_xlfn.TEXTSPLIT(R260,"/")</f>
        <v>theater</v>
      </c>
      <c r="T260" t="str">
        <v>plays</v>
      </c>
    </row>
    <row r="261" spans="1:20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16"/>
        <v>5.9749999999999996</v>
      </c>
      <c r="G261" t="s">
        <v>20</v>
      </c>
      <c r="H261">
        <v>138</v>
      </c>
      <c r="I261" s="5">
        <f t="shared" si="17"/>
        <v>77.930000000000007</v>
      </c>
      <c r="J261" t="s">
        <v>21</v>
      </c>
      <c r="K261" t="s">
        <v>22</v>
      </c>
      <c r="L261">
        <v>1354946400</v>
      </c>
      <c r="M261" s="9">
        <f t="shared" si="18"/>
        <v>41251.25</v>
      </c>
      <c r="N261">
        <v>1356588000</v>
      </c>
      <c r="O261" s="9">
        <f t="shared" si="19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_xlfn.TEXTSPLIT(R261,"/")</f>
        <v>photography</v>
      </c>
      <c r="T261" t="str">
        <v>photography books</v>
      </c>
    </row>
    <row r="262" spans="1:20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16"/>
        <v>1.577</v>
      </c>
      <c r="G262" t="s">
        <v>20</v>
      </c>
      <c r="H262">
        <v>261</v>
      </c>
      <c r="I262" s="5">
        <f t="shared" si="17"/>
        <v>38.07</v>
      </c>
      <c r="J262" t="s">
        <v>21</v>
      </c>
      <c r="K262" t="s">
        <v>22</v>
      </c>
      <c r="L262">
        <v>1348808400</v>
      </c>
      <c r="M262" s="9">
        <f t="shared" si="18"/>
        <v>41180.208333333336</v>
      </c>
      <c r="N262">
        <v>1349845200</v>
      </c>
      <c r="O262" s="9">
        <f t="shared" si="19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_xlfn.TEXTSPLIT(R262,"/")</f>
        <v>music</v>
      </c>
      <c r="T262" t="str">
        <v>rock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16"/>
        <v>0.312</v>
      </c>
      <c r="G263" t="s">
        <v>14</v>
      </c>
      <c r="H263">
        <v>454</v>
      </c>
      <c r="I263" s="5">
        <f t="shared" si="17"/>
        <v>57.94</v>
      </c>
      <c r="J263" t="s">
        <v>21</v>
      </c>
      <c r="K263" t="s">
        <v>22</v>
      </c>
      <c r="L263">
        <v>1282712400</v>
      </c>
      <c r="M263" s="9">
        <f t="shared" si="18"/>
        <v>40415.208333333336</v>
      </c>
      <c r="N263">
        <v>1283058000</v>
      </c>
      <c r="O263" s="9">
        <f t="shared" si="19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_xlfn.TEXTSPLIT(R263,"/")</f>
        <v>music</v>
      </c>
      <c r="T263" t="str">
        <v>rock</v>
      </c>
    </row>
    <row r="264" spans="1:20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16"/>
        <v>3.1341000000000001</v>
      </c>
      <c r="G264" t="s">
        <v>20</v>
      </c>
      <c r="H264">
        <v>107</v>
      </c>
      <c r="I264" s="5">
        <f t="shared" si="17"/>
        <v>49.79</v>
      </c>
      <c r="J264" t="s">
        <v>21</v>
      </c>
      <c r="K264" t="s">
        <v>22</v>
      </c>
      <c r="L264">
        <v>1301979600</v>
      </c>
      <c r="M264" s="9">
        <f t="shared" si="18"/>
        <v>40638.208333333336</v>
      </c>
      <c r="N264">
        <v>1304226000</v>
      </c>
      <c r="O264" s="9">
        <f t="shared" si="19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_xlfn.TEXTSPLIT(R264,"/")</f>
        <v>music</v>
      </c>
      <c r="T264" t="str">
        <v>indie rock</v>
      </c>
    </row>
    <row r="265" spans="1:20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16"/>
        <v>3.7090000000000001</v>
      </c>
      <c r="G265" t="s">
        <v>20</v>
      </c>
      <c r="H265">
        <v>199</v>
      </c>
      <c r="I265" s="5">
        <f t="shared" si="17"/>
        <v>54.05</v>
      </c>
      <c r="J265" t="s">
        <v>21</v>
      </c>
      <c r="K265" t="s">
        <v>22</v>
      </c>
      <c r="L265">
        <v>1263016800</v>
      </c>
      <c r="M265" s="9">
        <f t="shared" si="18"/>
        <v>40187.25</v>
      </c>
      <c r="N265">
        <v>1263016800</v>
      </c>
      <c r="O265" s="9">
        <f t="shared" si="19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_xlfn.TEXTSPLIT(R265,"/")</f>
        <v>photography</v>
      </c>
      <c r="T265" t="str">
        <v>photography books</v>
      </c>
    </row>
    <row r="266" spans="1:20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16"/>
        <v>3.6265999999999998</v>
      </c>
      <c r="G266" t="s">
        <v>20</v>
      </c>
      <c r="H266">
        <v>5512</v>
      </c>
      <c r="I266" s="5">
        <f t="shared" si="17"/>
        <v>30</v>
      </c>
      <c r="J266" t="s">
        <v>21</v>
      </c>
      <c r="K266" t="s">
        <v>22</v>
      </c>
      <c r="L266">
        <v>1360648800</v>
      </c>
      <c r="M266" s="9">
        <f t="shared" si="18"/>
        <v>41317.25</v>
      </c>
      <c r="N266">
        <v>1362031200</v>
      </c>
      <c r="O266" s="9">
        <f t="shared" si="19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_xlfn.TEXTSPLIT(R266,"/")</f>
        <v>theater</v>
      </c>
      <c r="T266" t="str">
        <v>plays</v>
      </c>
    </row>
    <row r="267" spans="1:20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16"/>
        <v>1.2307999999999999</v>
      </c>
      <c r="G267" t="s">
        <v>20</v>
      </c>
      <c r="H267">
        <v>86</v>
      </c>
      <c r="I267" s="5">
        <f t="shared" si="17"/>
        <v>70.13</v>
      </c>
      <c r="J267" t="s">
        <v>21</v>
      </c>
      <c r="K267" t="s">
        <v>22</v>
      </c>
      <c r="L267">
        <v>1451800800</v>
      </c>
      <c r="M267" s="9">
        <f t="shared" si="18"/>
        <v>42372.25</v>
      </c>
      <c r="N267">
        <v>1455602400</v>
      </c>
      <c r="O267" s="9">
        <f t="shared" si="19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_xlfn.TEXTSPLIT(R267,"/")</f>
        <v>theater</v>
      </c>
      <c r="T267" t="str">
        <v>plays</v>
      </c>
    </row>
    <row r="268" spans="1:20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16"/>
        <v>0.76770000000000005</v>
      </c>
      <c r="G268" t="s">
        <v>14</v>
      </c>
      <c r="H268">
        <v>3182</v>
      </c>
      <c r="I268" s="5">
        <f t="shared" si="17"/>
        <v>27</v>
      </c>
      <c r="J268" t="s">
        <v>107</v>
      </c>
      <c r="K268" t="s">
        <v>108</v>
      </c>
      <c r="L268">
        <v>1415340000</v>
      </c>
      <c r="M268" s="9">
        <f t="shared" si="18"/>
        <v>41950.25</v>
      </c>
      <c r="N268">
        <v>1418191200</v>
      </c>
      <c r="O268" s="9">
        <f t="shared" si="19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_xlfn.TEXTSPLIT(R268,"/")</f>
        <v>music</v>
      </c>
      <c r="T268" t="str">
        <v>jazz</v>
      </c>
    </row>
    <row r="269" spans="1:20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16"/>
        <v>2.3361999999999998</v>
      </c>
      <c r="G269" t="s">
        <v>20</v>
      </c>
      <c r="H269">
        <v>2768</v>
      </c>
      <c r="I269" s="5">
        <f t="shared" si="17"/>
        <v>51.99</v>
      </c>
      <c r="J269" t="s">
        <v>26</v>
      </c>
      <c r="K269" t="s">
        <v>27</v>
      </c>
      <c r="L269">
        <v>1351054800</v>
      </c>
      <c r="M269" s="9">
        <f t="shared" si="18"/>
        <v>41206.208333333336</v>
      </c>
      <c r="N269">
        <v>1352440800</v>
      </c>
      <c r="O269" s="9">
        <f t="shared" si="19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_xlfn.TEXTSPLIT(R269,"/")</f>
        <v>theater</v>
      </c>
      <c r="T269" t="str">
        <v>plays</v>
      </c>
    </row>
    <row r="270" spans="1:20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16"/>
        <v>1.8052999999999999</v>
      </c>
      <c r="G270" t="s">
        <v>20</v>
      </c>
      <c r="H270">
        <v>48</v>
      </c>
      <c r="I270" s="5">
        <f t="shared" si="17"/>
        <v>56.42</v>
      </c>
      <c r="J270" t="s">
        <v>21</v>
      </c>
      <c r="K270" t="s">
        <v>22</v>
      </c>
      <c r="L270">
        <v>1349326800</v>
      </c>
      <c r="M270" s="9">
        <f t="shared" si="18"/>
        <v>41186.208333333336</v>
      </c>
      <c r="N270">
        <v>1353304800</v>
      </c>
      <c r="O270" s="9">
        <f t="shared" si="19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_xlfn.TEXTSPLIT(R270,"/")</f>
        <v>film &amp; video</v>
      </c>
      <c r="T270" t="str">
        <v>documentary</v>
      </c>
    </row>
    <row r="271" spans="1:20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16"/>
        <v>2.5263</v>
      </c>
      <c r="G271" t="s">
        <v>20</v>
      </c>
      <c r="H271">
        <v>87</v>
      </c>
      <c r="I271" s="5">
        <f t="shared" si="17"/>
        <v>101.63</v>
      </c>
      <c r="J271" t="s">
        <v>21</v>
      </c>
      <c r="K271" t="s">
        <v>22</v>
      </c>
      <c r="L271">
        <v>1548914400</v>
      </c>
      <c r="M271" s="9">
        <f t="shared" si="18"/>
        <v>43496.25</v>
      </c>
      <c r="N271">
        <v>1550728800</v>
      </c>
      <c r="O271" s="9">
        <f t="shared" si="19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_xlfn.TEXTSPLIT(R271,"/")</f>
        <v>film &amp; video</v>
      </c>
      <c r="T271" t="str">
        <v>television</v>
      </c>
    </row>
    <row r="272" spans="1:20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16"/>
        <v>0.27179999999999999</v>
      </c>
      <c r="G272" t="s">
        <v>74</v>
      </c>
      <c r="H272">
        <v>1890</v>
      </c>
      <c r="I272" s="5">
        <f t="shared" si="17"/>
        <v>25.01</v>
      </c>
      <c r="J272" t="s">
        <v>21</v>
      </c>
      <c r="K272" t="s">
        <v>22</v>
      </c>
      <c r="L272">
        <v>1291269600</v>
      </c>
      <c r="M272" s="9">
        <f t="shared" si="18"/>
        <v>40514.25</v>
      </c>
      <c r="N272">
        <v>1291442400</v>
      </c>
      <c r="O272" s="9">
        <f t="shared" si="19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_xlfn.TEXTSPLIT(R272,"/")</f>
        <v>games</v>
      </c>
      <c r="T272" t="str">
        <v>video games</v>
      </c>
    </row>
    <row r="273" spans="1:20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16"/>
        <v>1.2699999999999999E-2</v>
      </c>
      <c r="G273" t="s">
        <v>47</v>
      </c>
      <c r="H273">
        <v>61</v>
      </c>
      <c r="I273" s="5">
        <f t="shared" si="17"/>
        <v>32.020000000000003</v>
      </c>
      <c r="J273" t="s">
        <v>21</v>
      </c>
      <c r="K273" t="s">
        <v>22</v>
      </c>
      <c r="L273">
        <v>1449468000</v>
      </c>
      <c r="M273" s="9">
        <f t="shared" si="18"/>
        <v>42345.25</v>
      </c>
      <c r="N273">
        <v>1452146400</v>
      </c>
      <c r="O273" s="9">
        <f t="shared" si="19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_xlfn.TEXTSPLIT(R273,"/")</f>
        <v>photography</v>
      </c>
      <c r="T273" t="str">
        <v>photography books</v>
      </c>
    </row>
    <row r="274" spans="1:20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16"/>
        <v>3.0400999999999998</v>
      </c>
      <c r="G274" t="s">
        <v>20</v>
      </c>
      <c r="H274">
        <v>1894</v>
      </c>
      <c r="I274" s="5">
        <f t="shared" si="17"/>
        <v>82.02</v>
      </c>
      <c r="J274" t="s">
        <v>21</v>
      </c>
      <c r="K274" t="s">
        <v>22</v>
      </c>
      <c r="L274">
        <v>1562734800</v>
      </c>
      <c r="M274" s="9">
        <f t="shared" si="18"/>
        <v>43656.208333333328</v>
      </c>
      <c r="N274">
        <v>1564894800</v>
      </c>
      <c r="O274" s="9">
        <f t="shared" si="19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_xlfn.TEXTSPLIT(R274,"/")</f>
        <v>theater</v>
      </c>
      <c r="T274" t="str">
        <v>plays</v>
      </c>
    </row>
    <row r="275" spans="1:20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16"/>
        <v>1.3723000000000001</v>
      </c>
      <c r="G275" t="s">
        <v>20</v>
      </c>
      <c r="H275">
        <v>282</v>
      </c>
      <c r="I275" s="5">
        <f t="shared" si="17"/>
        <v>37.96</v>
      </c>
      <c r="J275" t="s">
        <v>15</v>
      </c>
      <c r="K275" t="s">
        <v>16</v>
      </c>
      <c r="L275">
        <v>1505624400</v>
      </c>
      <c r="M275" s="9">
        <f t="shared" si="18"/>
        <v>42995.208333333328</v>
      </c>
      <c r="N275">
        <v>1505883600</v>
      </c>
      <c r="O275" s="9">
        <f t="shared" si="19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_xlfn.TEXTSPLIT(R275,"/")</f>
        <v>theater</v>
      </c>
      <c r="T275" t="str">
        <v>plays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16"/>
        <v>0.3221</v>
      </c>
      <c r="G276" t="s">
        <v>14</v>
      </c>
      <c r="H276">
        <v>15</v>
      </c>
      <c r="I276" s="5">
        <f t="shared" si="17"/>
        <v>51.53</v>
      </c>
      <c r="J276" t="s">
        <v>21</v>
      </c>
      <c r="K276" t="s">
        <v>22</v>
      </c>
      <c r="L276">
        <v>1509948000</v>
      </c>
      <c r="M276" s="9">
        <f t="shared" si="18"/>
        <v>43045.25</v>
      </c>
      <c r="N276">
        <v>1510380000</v>
      </c>
      <c r="O276" s="9">
        <f t="shared" si="19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_xlfn.TEXTSPLIT(R276,"/")</f>
        <v>theater</v>
      </c>
      <c r="T276" t="str">
        <v>plays</v>
      </c>
    </row>
    <row r="277" spans="1:20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16"/>
        <v>2.4150999999999998</v>
      </c>
      <c r="G277" t="s">
        <v>20</v>
      </c>
      <c r="H277">
        <v>116</v>
      </c>
      <c r="I277" s="5">
        <f t="shared" si="17"/>
        <v>81.2</v>
      </c>
      <c r="J277" t="s">
        <v>21</v>
      </c>
      <c r="K277" t="s">
        <v>22</v>
      </c>
      <c r="L277">
        <v>1554526800</v>
      </c>
      <c r="M277" s="9">
        <f t="shared" si="18"/>
        <v>43561.208333333328</v>
      </c>
      <c r="N277">
        <v>1555218000</v>
      </c>
      <c r="O277" s="9">
        <f t="shared" si="19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_xlfn.TEXTSPLIT(R277,"/")</f>
        <v>publishing</v>
      </c>
      <c r="T277" t="str">
        <v>translations</v>
      </c>
    </row>
    <row r="278" spans="1:20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16"/>
        <v>0.96799999999999997</v>
      </c>
      <c r="G278" t="s">
        <v>14</v>
      </c>
      <c r="H278">
        <v>133</v>
      </c>
      <c r="I278" s="5">
        <f t="shared" si="17"/>
        <v>40.03</v>
      </c>
      <c r="J278" t="s">
        <v>21</v>
      </c>
      <c r="K278" t="s">
        <v>22</v>
      </c>
      <c r="L278">
        <v>1334811600</v>
      </c>
      <c r="M278" s="9">
        <f t="shared" si="18"/>
        <v>41018.208333333336</v>
      </c>
      <c r="N278">
        <v>1335243600</v>
      </c>
      <c r="O278" s="9">
        <f t="shared" si="19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_xlfn.TEXTSPLIT(R278,"/")</f>
        <v>games</v>
      </c>
      <c r="T278" t="str">
        <v>video games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16"/>
        <v>10.664300000000001</v>
      </c>
      <c r="G279" t="s">
        <v>20</v>
      </c>
      <c r="H279">
        <v>83</v>
      </c>
      <c r="I279" s="5">
        <f t="shared" si="17"/>
        <v>89.94</v>
      </c>
      <c r="J279" t="s">
        <v>21</v>
      </c>
      <c r="K279" t="s">
        <v>22</v>
      </c>
      <c r="L279">
        <v>1279515600</v>
      </c>
      <c r="M279" s="9">
        <f t="shared" si="18"/>
        <v>40378.208333333336</v>
      </c>
      <c r="N279">
        <v>1279688400</v>
      </c>
      <c r="O279" s="9">
        <f t="shared" si="19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_xlfn.TEXTSPLIT(R279,"/")</f>
        <v>theater</v>
      </c>
      <c r="T279" t="str">
        <v>plays</v>
      </c>
    </row>
    <row r="280" spans="1:20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16"/>
        <v>3.2589000000000001</v>
      </c>
      <c r="G280" t="s">
        <v>20</v>
      </c>
      <c r="H280">
        <v>91</v>
      </c>
      <c r="I280" s="5">
        <f t="shared" si="17"/>
        <v>96.69</v>
      </c>
      <c r="J280" t="s">
        <v>21</v>
      </c>
      <c r="K280" t="s">
        <v>22</v>
      </c>
      <c r="L280">
        <v>1353909600</v>
      </c>
      <c r="M280" s="9">
        <f t="shared" si="18"/>
        <v>41239.25</v>
      </c>
      <c r="N280">
        <v>1356069600</v>
      </c>
      <c r="O280" s="9">
        <f t="shared" si="19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_xlfn.TEXTSPLIT(R280,"/")</f>
        <v>technology</v>
      </c>
      <c r="T280" t="str">
        <v>web</v>
      </c>
    </row>
    <row r="281" spans="1:20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16"/>
        <v>1.7070000000000001</v>
      </c>
      <c r="G281" t="s">
        <v>20</v>
      </c>
      <c r="H281">
        <v>546</v>
      </c>
      <c r="I281" s="5">
        <f t="shared" si="17"/>
        <v>25.01</v>
      </c>
      <c r="J281" t="s">
        <v>21</v>
      </c>
      <c r="K281" t="s">
        <v>22</v>
      </c>
      <c r="L281">
        <v>1535950800</v>
      </c>
      <c r="M281" s="9">
        <f t="shared" si="18"/>
        <v>43346.208333333328</v>
      </c>
      <c r="N281">
        <v>1536210000</v>
      </c>
      <c r="O281" s="9">
        <f t="shared" si="19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_xlfn.TEXTSPLIT(R281,"/")</f>
        <v>theater</v>
      </c>
      <c r="T281" t="str">
        <v>plays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16"/>
        <v>5.8144</v>
      </c>
      <c r="G282" t="s">
        <v>20</v>
      </c>
      <c r="H282">
        <v>393</v>
      </c>
      <c r="I282" s="5">
        <f t="shared" si="17"/>
        <v>36.99</v>
      </c>
      <c r="J282" t="s">
        <v>21</v>
      </c>
      <c r="K282" t="s">
        <v>22</v>
      </c>
      <c r="L282">
        <v>1511244000</v>
      </c>
      <c r="M282" s="9">
        <f t="shared" si="18"/>
        <v>43060.25</v>
      </c>
      <c r="N282">
        <v>1511762400</v>
      </c>
      <c r="O282" s="9">
        <f t="shared" si="19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_xlfn.TEXTSPLIT(R282,"/")</f>
        <v>film &amp; video</v>
      </c>
      <c r="T282" t="str">
        <v>animation</v>
      </c>
    </row>
    <row r="283" spans="1:20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16"/>
        <v>0.91520000000000001</v>
      </c>
      <c r="G283" t="s">
        <v>14</v>
      </c>
      <c r="H283">
        <v>2062</v>
      </c>
      <c r="I283" s="5">
        <f t="shared" si="17"/>
        <v>73.010000000000005</v>
      </c>
      <c r="J283" t="s">
        <v>21</v>
      </c>
      <c r="K283" t="s">
        <v>22</v>
      </c>
      <c r="L283">
        <v>1331445600</v>
      </c>
      <c r="M283" s="9">
        <f t="shared" si="18"/>
        <v>40979.25</v>
      </c>
      <c r="N283">
        <v>1333256400</v>
      </c>
      <c r="O283" s="9">
        <f t="shared" si="19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_xlfn.TEXTSPLIT(R283,"/")</f>
        <v>theater</v>
      </c>
      <c r="T283" t="str">
        <v>plays</v>
      </c>
    </row>
    <row r="284" spans="1:20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16"/>
        <v>1.0805</v>
      </c>
      <c r="G284" t="s">
        <v>20</v>
      </c>
      <c r="H284">
        <v>133</v>
      </c>
      <c r="I284" s="5">
        <f t="shared" si="17"/>
        <v>68.239999999999995</v>
      </c>
      <c r="J284" t="s">
        <v>21</v>
      </c>
      <c r="K284" t="s">
        <v>22</v>
      </c>
      <c r="L284">
        <v>1480226400</v>
      </c>
      <c r="M284" s="9">
        <f t="shared" si="18"/>
        <v>42701.25</v>
      </c>
      <c r="N284">
        <v>1480744800</v>
      </c>
      <c r="O284" s="9">
        <f t="shared" si="19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_xlfn.TEXTSPLIT(R284,"/")</f>
        <v>film &amp; video</v>
      </c>
      <c r="T284" t="str">
        <v>television</v>
      </c>
    </row>
    <row r="285" spans="1:20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16"/>
        <v>0.18729999999999999</v>
      </c>
      <c r="G285" t="s">
        <v>14</v>
      </c>
      <c r="H285">
        <v>29</v>
      </c>
      <c r="I285" s="5">
        <f t="shared" si="17"/>
        <v>52.31</v>
      </c>
      <c r="J285" t="s">
        <v>36</v>
      </c>
      <c r="K285" t="s">
        <v>37</v>
      </c>
      <c r="L285">
        <v>1464584400</v>
      </c>
      <c r="M285" s="9">
        <f t="shared" si="18"/>
        <v>42520.208333333328</v>
      </c>
      <c r="N285">
        <v>1465016400</v>
      </c>
      <c r="O285" s="9">
        <f t="shared" si="19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_xlfn.TEXTSPLIT(R285,"/")</f>
        <v>music</v>
      </c>
      <c r="T285" t="str">
        <v>rock</v>
      </c>
    </row>
    <row r="286" spans="1:20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16"/>
        <v>0.83189999999999997</v>
      </c>
      <c r="G286" t="s">
        <v>14</v>
      </c>
      <c r="H286">
        <v>132</v>
      </c>
      <c r="I286" s="5">
        <f t="shared" si="17"/>
        <v>61.77</v>
      </c>
      <c r="J286" t="s">
        <v>21</v>
      </c>
      <c r="K286" t="s">
        <v>22</v>
      </c>
      <c r="L286">
        <v>1335848400</v>
      </c>
      <c r="M286" s="9">
        <f t="shared" si="18"/>
        <v>41030.208333333336</v>
      </c>
      <c r="N286">
        <v>1336280400</v>
      </c>
      <c r="O286" s="9">
        <f t="shared" si="19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_xlfn.TEXTSPLIT(R286,"/")</f>
        <v>technology</v>
      </c>
      <c r="T286" t="str">
        <v>web</v>
      </c>
    </row>
    <row r="287" spans="1:20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16"/>
        <v>7.0632999999999999</v>
      </c>
      <c r="G287" t="s">
        <v>20</v>
      </c>
      <c r="H287">
        <v>254</v>
      </c>
      <c r="I287" s="5">
        <f t="shared" si="17"/>
        <v>25.03</v>
      </c>
      <c r="J287" t="s">
        <v>21</v>
      </c>
      <c r="K287" t="s">
        <v>22</v>
      </c>
      <c r="L287">
        <v>1473483600</v>
      </c>
      <c r="M287" s="9">
        <f t="shared" si="18"/>
        <v>42623.208333333328</v>
      </c>
      <c r="N287">
        <v>1476766800</v>
      </c>
      <c r="O287" s="9">
        <f t="shared" si="19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_xlfn.TEXTSPLIT(R287,"/")</f>
        <v>theater</v>
      </c>
      <c r="T287" t="str">
        <v>plays</v>
      </c>
    </row>
    <row r="288" spans="1:20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16"/>
        <v>0.17449999999999999</v>
      </c>
      <c r="G288" t="s">
        <v>74</v>
      </c>
      <c r="H288">
        <v>184</v>
      </c>
      <c r="I288" s="5">
        <f t="shared" si="17"/>
        <v>106.29</v>
      </c>
      <c r="J288" t="s">
        <v>21</v>
      </c>
      <c r="K288" t="s">
        <v>22</v>
      </c>
      <c r="L288">
        <v>1479880800</v>
      </c>
      <c r="M288" s="9">
        <f t="shared" si="18"/>
        <v>42697.25</v>
      </c>
      <c r="N288">
        <v>1480485600</v>
      </c>
      <c r="O288" s="9">
        <f t="shared" si="19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_xlfn.TEXTSPLIT(R288,"/")</f>
        <v>theater</v>
      </c>
      <c r="T288" t="str">
        <v>plays</v>
      </c>
    </row>
    <row r="289" spans="1:20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16"/>
        <v>2.0973000000000002</v>
      </c>
      <c r="G289" t="s">
        <v>20</v>
      </c>
      <c r="H289">
        <v>176</v>
      </c>
      <c r="I289" s="5">
        <f t="shared" si="17"/>
        <v>75.069999999999993</v>
      </c>
      <c r="J289" t="s">
        <v>21</v>
      </c>
      <c r="K289" t="s">
        <v>22</v>
      </c>
      <c r="L289">
        <v>1430197200</v>
      </c>
      <c r="M289" s="9">
        <f t="shared" si="18"/>
        <v>42122.208333333328</v>
      </c>
      <c r="N289">
        <v>1430197200</v>
      </c>
      <c r="O289" s="9">
        <f t="shared" si="19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_xlfn.TEXTSPLIT(R289,"/")</f>
        <v>music</v>
      </c>
      <c r="T289" t="str">
        <v>electric music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16"/>
        <v>0.97789999999999999</v>
      </c>
      <c r="G290" t="s">
        <v>14</v>
      </c>
      <c r="H290">
        <v>137</v>
      </c>
      <c r="I290" s="5">
        <f t="shared" si="17"/>
        <v>39.97</v>
      </c>
      <c r="J290" t="s">
        <v>36</v>
      </c>
      <c r="K290" t="s">
        <v>37</v>
      </c>
      <c r="L290">
        <v>1331701200</v>
      </c>
      <c r="M290" s="9">
        <f t="shared" si="18"/>
        <v>40982.208333333336</v>
      </c>
      <c r="N290">
        <v>1331787600</v>
      </c>
      <c r="O290" s="9">
        <f t="shared" si="19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_xlfn.TEXTSPLIT(R290,"/")</f>
        <v>music</v>
      </c>
      <c r="T290" t="str">
        <v>metal</v>
      </c>
    </row>
    <row r="291" spans="1:20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16"/>
        <v>16.842500000000001</v>
      </c>
      <c r="G291" t="s">
        <v>20</v>
      </c>
      <c r="H291">
        <v>337</v>
      </c>
      <c r="I291" s="5">
        <f t="shared" si="17"/>
        <v>39.979999999999997</v>
      </c>
      <c r="J291" t="s">
        <v>15</v>
      </c>
      <c r="K291" t="s">
        <v>16</v>
      </c>
      <c r="L291">
        <v>1438578000</v>
      </c>
      <c r="M291" s="9">
        <f t="shared" si="18"/>
        <v>42219.208333333328</v>
      </c>
      <c r="N291">
        <v>1438837200</v>
      </c>
      <c r="O291" s="9">
        <f t="shared" si="19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_xlfn.TEXTSPLIT(R291,"/")</f>
        <v>theater</v>
      </c>
      <c r="T291" t="str">
        <v>plays</v>
      </c>
    </row>
    <row r="292" spans="1:20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16"/>
        <v>0.54400000000000004</v>
      </c>
      <c r="G292" t="s">
        <v>14</v>
      </c>
      <c r="H292">
        <v>908</v>
      </c>
      <c r="I292" s="5">
        <f t="shared" si="17"/>
        <v>101.02</v>
      </c>
      <c r="J292" t="s">
        <v>21</v>
      </c>
      <c r="K292" t="s">
        <v>22</v>
      </c>
      <c r="L292">
        <v>1368162000</v>
      </c>
      <c r="M292" s="9">
        <f t="shared" si="18"/>
        <v>41404.208333333336</v>
      </c>
      <c r="N292">
        <v>1370926800</v>
      </c>
      <c r="O292" s="9">
        <f t="shared" si="19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_xlfn.TEXTSPLIT(R292,"/")</f>
        <v>film &amp; video</v>
      </c>
      <c r="T292" t="str">
        <v>documentary</v>
      </c>
    </row>
    <row r="293" spans="1:20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16"/>
        <v>4.5660999999999996</v>
      </c>
      <c r="G293" t="s">
        <v>20</v>
      </c>
      <c r="H293">
        <v>107</v>
      </c>
      <c r="I293" s="5">
        <f t="shared" si="17"/>
        <v>76.81</v>
      </c>
      <c r="J293" t="s">
        <v>21</v>
      </c>
      <c r="K293" t="s">
        <v>22</v>
      </c>
      <c r="L293">
        <v>1318654800</v>
      </c>
      <c r="M293" s="9">
        <f t="shared" si="18"/>
        <v>40831.208333333336</v>
      </c>
      <c r="N293">
        <v>1319000400</v>
      </c>
      <c r="O293" s="9">
        <f t="shared" si="19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_xlfn.TEXTSPLIT(R293,"/")</f>
        <v>technology</v>
      </c>
      <c r="T293" t="str">
        <v>web</v>
      </c>
    </row>
    <row r="294" spans="1:20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16"/>
        <v>9.8199999999999996E-2</v>
      </c>
      <c r="G294" t="s">
        <v>14</v>
      </c>
      <c r="H294">
        <v>10</v>
      </c>
      <c r="I294" s="5">
        <f t="shared" si="17"/>
        <v>71.7</v>
      </c>
      <c r="J294" t="s">
        <v>21</v>
      </c>
      <c r="K294" t="s">
        <v>22</v>
      </c>
      <c r="L294">
        <v>1331874000</v>
      </c>
      <c r="M294" s="9">
        <f t="shared" si="18"/>
        <v>40984.208333333336</v>
      </c>
      <c r="N294">
        <v>1333429200</v>
      </c>
      <c r="O294" s="9">
        <f t="shared" si="19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_xlfn.TEXTSPLIT(R294,"/")</f>
        <v>food</v>
      </c>
      <c r="T294" t="str">
        <v>food trucks</v>
      </c>
    </row>
    <row r="295" spans="1:20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16"/>
        <v>0.1638</v>
      </c>
      <c r="G295" t="s">
        <v>74</v>
      </c>
      <c r="H295">
        <v>32</v>
      </c>
      <c r="I295" s="5">
        <f t="shared" si="17"/>
        <v>33.28</v>
      </c>
      <c r="J295" t="s">
        <v>107</v>
      </c>
      <c r="K295" t="s">
        <v>108</v>
      </c>
      <c r="L295">
        <v>1286254800</v>
      </c>
      <c r="M295" s="9">
        <f t="shared" si="18"/>
        <v>40456.208333333336</v>
      </c>
      <c r="N295">
        <v>1287032400</v>
      </c>
      <c r="O295" s="9">
        <f t="shared" si="19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_xlfn.TEXTSPLIT(R295,"/")</f>
        <v>theater</v>
      </c>
      <c r="T295" t="str">
        <v>plays</v>
      </c>
    </row>
    <row r="296" spans="1:20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16"/>
        <v>13.396699999999999</v>
      </c>
      <c r="G296" t="s">
        <v>20</v>
      </c>
      <c r="H296">
        <v>183</v>
      </c>
      <c r="I296" s="5">
        <f t="shared" si="17"/>
        <v>43.92</v>
      </c>
      <c r="J296" t="s">
        <v>21</v>
      </c>
      <c r="K296" t="s">
        <v>22</v>
      </c>
      <c r="L296">
        <v>1540530000</v>
      </c>
      <c r="M296" s="9">
        <f t="shared" si="18"/>
        <v>43399.208333333328</v>
      </c>
      <c r="N296">
        <v>1541570400</v>
      </c>
      <c r="O296" s="9">
        <f t="shared" si="19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_xlfn.TEXTSPLIT(R296,"/")</f>
        <v>theater</v>
      </c>
      <c r="T296" t="str">
        <v>plays</v>
      </c>
    </row>
    <row r="297" spans="1:20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16"/>
        <v>0.35649999999999998</v>
      </c>
      <c r="G297" t="s">
        <v>14</v>
      </c>
      <c r="H297">
        <v>1910</v>
      </c>
      <c r="I297" s="5">
        <f t="shared" si="17"/>
        <v>36</v>
      </c>
      <c r="J297" t="s">
        <v>98</v>
      </c>
      <c r="K297" t="s">
        <v>99</v>
      </c>
      <c r="L297">
        <v>1381813200</v>
      </c>
      <c r="M297" s="9">
        <f t="shared" si="18"/>
        <v>41562.208333333336</v>
      </c>
      <c r="N297">
        <v>1383976800</v>
      </c>
      <c r="O297" s="9">
        <f t="shared" si="19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_xlfn.TEXTSPLIT(R297,"/")</f>
        <v>theater</v>
      </c>
      <c r="T297" t="str">
        <v>plays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16"/>
        <v>0.54949999999999999</v>
      </c>
      <c r="G298" t="s">
        <v>14</v>
      </c>
      <c r="H298">
        <v>38</v>
      </c>
      <c r="I298" s="5">
        <f t="shared" si="17"/>
        <v>88.21</v>
      </c>
      <c r="J298" t="s">
        <v>26</v>
      </c>
      <c r="K298" t="s">
        <v>27</v>
      </c>
      <c r="L298">
        <v>1548655200</v>
      </c>
      <c r="M298" s="9">
        <f t="shared" si="18"/>
        <v>43493.25</v>
      </c>
      <c r="N298">
        <v>1550556000</v>
      </c>
      <c r="O298" s="9">
        <f t="shared" si="19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_xlfn.TEXTSPLIT(R298,"/")</f>
        <v>theater</v>
      </c>
      <c r="T298" t="str">
        <v>plays</v>
      </c>
    </row>
    <row r="299" spans="1:20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16"/>
        <v>0.94240000000000002</v>
      </c>
      <c r="G299" t="s">
        <v>14</v>
      </c>
      <c r="H299">
        <v>104</v>
      </c>
      <c r="I299" s="5">
        <f t="shared" si="17"/>
        <v>65.239999999999995</v>
      </c>
      <c r="J299" t="s">
        <v>26</v>
      </c>
      <c r="K299" t="s">
        <v>27</v>
      </c>
      <c r="L299">
        <v>1389679200</v>
      </c>
      <c r="M299" s="9">
        <f t="shared" si="18"/>
        <v>41653.25</v>
      </c>
      <c r="N299">
        <v>1390456800</v>
      </c>
      <c r="O299" s="9">
        <f t="shared" si="19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_xlfn.TEXTSPLIT(R299,"/")</f>
        <v>theater</v>
      </c>
      <c r="T299" t="str">
        <v>plays</v>
      </c>
    </row>
    <row r="300" spans="1:20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16"/>
        <v>1.4391</v>
      </c>
      <c r="G300" t="s">
        <v>20</v>
      </c>
      <c r="H300">
        <v>72</v>
      </c>
      <c r="I300" s="5">
        <f t="shared" si="17"/>
        <v>69.959999999999994</v>
      </c>
      <c r="J300" t="s">
        <v>21</v>
      </c>
      <c r="K300" t="s">
        <v>22</v>
      </c>
      <c r="L300">
        <v>1456466400</v>
      </c>
      <c r="M300" s="9">
        <f t="shared" si="18"/>
        <v>42426.25</v>
      </c>
      <c r="N300">
        <v>1458018000</v>
      </c>
      <c r="O300" s="9">
        <f t="shared" si="19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_xlfn.TEXTSPLIT(R300,"/")</f>
        <v>music</v>
      </c>
      <c r="T300" t="str">
        <v>rock</v>
      </c>
    </row>
    <row r="301" spans="1:20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16"/>
        <v>0.51419999999999999</v>
      </c>
      <c r="G301" t="s">
        <v>14</v>
      </c>
      <c r="H301">
        <v>49</v>
      </c>
      <c r="I301" s="5">
        <f t="shared" si="17"/>
        <v>39.880000000000003</v>
      </c>
      <c r="J301" t="s">
        <v>21</v>
      </c>
      <c r="K301" t="s">
        <v>22</v>
      </c>
      <c r="L301">
        <v>1456984800</v>
      </c>
      <c r="M301" s="9">
        <f t="shared" si="18"/>
        <v>42432.25</v>
      </c>
      <c r="N301">
        <v>1461819600</v>
      </c>
      <c r="O301" s="9">
        <f t="shared" si="19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_xlfn.TEXTSPLIT(R301,"/")</f>
        <v>food</v>
      </c>
      <c r="T301" t="str">
        <v>food trucks</v>
      </c>
    </row>
    <row r="302" spans="1:20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16"/>
        <v>0.05</v>
      </c>
      <c r="G302" t="s">
        <v>14</v>
      </c>
      <c r="H302">
        <v>1</v>
      </c>
      <c r="I302" s="5">
        <f t="shared" si="17"/>
        <v>5</v>
      </c>
      <c r="J302" t="s">
        <v>36</v>
      </c>
      <c r="K302" t="s">
        <v>37</v>
      </c>
      <c r="L302">
        <v>1504069200</v>
      </c>
      <c r="M302" s="9">
        <f t="shared" si="18"/>
        <v>42977.208333333328</v>
      </c>
      <c r="N302">
        <v>1504155600</v>
      </c>
      <c r="O302" s="9">
        <f t="shared" si="19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_xlfn.TEXTSPLIT(R302,"/")</f>
        <v>publishing</v>
      </c>
      <c r="T302" t="str">
        <v>nonfiction</v>
      </c>
    </row>
    <row r="303" spans="1:20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16"/>
        <v>13.4467</v>
      </c>
      <c r="G303" t="s">
        <v>20</v>
      </c>
      <c r="H303">
        <v>295</v>
      </c>
      <c r="I303" s="5">
        <f t="shared" si="17"/>
        <v>41.02</v>
      </c>
      <c r="J303" t="s">
        <v>21</v>
      </c>
      <c r="K303" t="s">
        <v>22</v>
      </c>
      <c r="L303">
        <v>1424930400</v>
      </c>
      <c r="M303" s="9">
        <f t="shared" si="18"/>
        <v>42061.25</v>
      </c>
      <c r="N303">
        <v>1426395600</v>
      </c>
      <c r="O303" s="9">
        <f t="shared" si="19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_xlfn.TEXTSPLIT(R303,"/")</f>
        <v>film &amp; video</v>
      </c>
      <c r="T303" t="str">
        <v>documentary</v>
      </c>
    </row>
    <row r="304" spans="1:20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16"/>
        <v>0.31840000000000002</v>
      </c>
      <c r="G304" t="s">
        <v>14</v>
      </c>
      <c r="H304">
        <v>245</v>
      </c>
      <c r="I304" s="5">
        <f t="shared" si="17"/>
        <v>98.91</v>
      </c>
      <c r="J304" t="s">
        <v>21</v>
      </c>
      <c r="K304" t="s">
        <v>22</v>
      </c>
      <c r="L304">
        <v>1535864400</v>
      </c>
      <c r="M304" s="9">
        <f t="shared" si="18"/>
        <v>43345.208333333328</v>
      </c>
      <c r="N304">
        <v>1537074000</v>
      </c>
      <c r="O304" s="9">
        <f t="shared" si="19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_xlfn.TEXTSPLIT(R304,"/")</f>
        <v>theater</v>
      </c>
      <c r="T304" t="str">
        <v>plays</v>
      </c>
    </row>
    <row r="305" spans="1:20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16"/>
        <v>0.82620000000000005</v>
      </c>
      <c r="G305" t="s">
        <v>14</v>
      </c>
      <c r="H305">
        <v>32</v>
      </c>
      <c r="I305" s="5">
        <f t="shared" si="17"/>
        <v>87.78</v>
      </c>
      <c r="J305" t="s">
        <v>21</v>
      </c>
      <c r="K305" t="s">
        <v>22</v>
      </c>
      <c r="L305">
        <v>1452146400</v>
      </c>
      <c r="M305" s="9">
        <f t="shared" si="18"/>
        <v>42376.25</v>
      </c>
      <c r="N305">
        <v>1452578400</v>
      </c>
      <c r="O305" s="9">
        <f t="shared" si="19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_xlfn.TEXTSPLIT(R305,"/")</f>
        <v>music</v>
      </c>
      <c r="T305" t="str">
        <v>indie rock</v>
      </c>
    </row>
    <row r="306" spans="1:20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16"/>
        <v>5.4614000000000003</v>
      </c>
      <c r="G306" t="s">
        <v>20</v>
      </c>
      <c r="H306">
        <v>142</v>
      </c>
      <c r="I306" s="5">
        <f t="shared" si="17"/>
        <v>80.77</v>
      </c>
      <c r="J306" t="s">
        <v>21</v>
      </c>
      <c r="K306" t="s">
        <v>22</v>
      </c>
      <c r="L306">
        <v>1470546000</v>
      </c>
      <c r="M306" s="9">
        <f t="shared" si="18"/>
        <v>42589.208333333328</v>
      </c>
      <c r="N306">
        <v>1474088400</v>
      </c>
      <c r="O306" s="9">
        <f t="shared" si="19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_xlfn.TEXTSPLIT(R306,"/")</f>
        <v>film &amp; video</v>
      </c>
      <c r="T306" t="str">
        <v>documentary</v>
      </c>
    </row>
    <row r="307" spans="1:20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16"/>
        <v>2.8620999999999999</v>
      </c>
      <c r="G307" t="s">
        <v>20</v>
      </c>
      <c r="H307">
        <v>85</v>
      </c>
      <c r="I307" s="5">
        <f t="shared" si="17"/>
        <v>94.28</v>
      </c>
      <c r="J307" t="s">
        <v>21</v>
      </c>
      <c r="K307" t="s">
        <v>22</v>
      </c>
      <c r="L307">
        <v>1458363600</v>
      </c>
      <c r="M307" s="9">
        <f t="shared" si="18"/>
        <v>42448.208333333328</v>
      </c>
      <c r="N307">
        <v>1461906000</v>
      </c>
      <c r="O307" s="9">
        <f t="shared" si="19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_xlfn.TEXTSPLIT(R307,"/")</f>
        <v>theater</v>
      </c>
      <c r="T307" t="str">
        <v>plays</v>
      </c>
    </row>
    <row r="308" spans="1:20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16"/>
        <v>7.9100000000000004E-2</v>
      </c>
      <c r="G308" t="s">
        <v>14</v>
      </c>
      <c r="H308">
        <v>7</v>
      </c>
      <c r="I308" s="5">
        <f t="shared" si="17"/>
        <v>73.430000000000007</v>
      </c>
      <c r="J308" t="s">
        <v>21</v>
      </c>
      <c r="K308" t="s">
        <v>22</v>
      </c>
      <c r="L308">
        <v>1500008400</v>
      </c>
      <c r="M308" s="9">
        <f t="shared" si="18"/>
        <v>42930.208333333328</v>
      </c>
      <c r="N308">
        <v>1500267600</v>
      </c>
      <c r="O308" s="9">
        <f t="shared" si="19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_xlfn.TEXTSPLIT(R308,"/")</f>
        <v>theater</v>
      </c>
      <c r="T308" t="str">
        <v>plays</v>
      </c>
    </row>
    <row r="309" spans="1:20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16"/>
        <v>1.3213999999999999</v>
      </c>
      <c r="G309" t="s">
        <v>20</v>
      </c>
      <c r="H309">
        <v>659</v>
      </c>
      <c r="I309" s="5">
        <f t="shared" si="17"/>
        <v>65.97</v>
      </c>
      <c r="J309" t="s">
        <v>36</v>
      </c>
      <c r="K309" t="s">
        <v>37</v>
      </c>
      <c r="L309">
        <v>1338958800</v>
      </c>
      <c r="M309" s="9">
        <f t="shared" si="18"/>
        <v>41066.208333333336</v>
      </c>
      <c r="N309">
        <v>1340686800</v>
      </c>
      <c r="O309" s="9">
        <f t="shared" si="19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_xlfn.TEXTSPLIT(R309,"/")</f>
        <v>publishing</v>
      </c>
      <c r="T309" t="str">
        <v>fiction</v>
      </c>
    </row>
    <row r="310" spans="1:20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16"/>
        <v>0.74080000000000001</v>
      </c>
      <c r="G310" t="s">
        <v>14</v>
      </c>
      <c r="H310">
        <v>803</v>
      </c>
      <c r="I310" s="5">
        <f t="shared" si="17"/>
        <v>109.04</v>
      </c>
      <c r="J310" t="s">
        <v>21</v>
      </c>
      <c r="K310" t="s">
        <v>22</v>
      </c>
      <c r="L310">
        <v>1303102800</v>
      </c>
      <c r="M310" s="9">
        <f t="shared" si="18"/>
        <v>40651.208333333336</v>
      </c>
      <c r="N310">
        <v>1303189200</v>
      </c>
      <c r="O310" s="9">
        <f t="shared" si="19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_xlfn.TEXTSPLIT(R310,"/")</f>
        <v>theater</v>
      </c>
      <c r="T310" t="str">
        <v>plays</v>
      </c>
    </row>
    <row r="311" spans="1:20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16"/>
        <v>0.75290000000000001</v>
      </c>
      <c r="G311" t="s">
        <v>74</v>
      </c>
      <c r="H311">
        <v>75</v>
      </c>
      <c r="I311" s="5">
        <f t="shared" si="17"/>
        <v>41.16</v>
      </c>
      <c r="J311" t="s">
        <v>21</v>
      </c>
      <c r="K311" t="s">
        <v>22</v>
      </c>
      <c r="L311">
        <v>1316581200</v>
      </c>
      <c r="M311" s="9">
        <f t="shared" si="18"/>
        <v>40807.208333333336</v>
      </c>
      <c r="N311">
        <v>1318309200</v>
      </c>
      <c r="O311" s="9">
        <f t="shared" si="19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_xlfn.TEXTSPLIT(R311,"/")</f>
        <v>music</v>
      </c>
      <c r="T311" t="str">
        <v>indie rock</v>
      </c>
    </row>
    <row r="312" spans="1:20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16"/>
        <v>0.20330000000000001</v>
      </c>
      <c r="G312" t="s">
        <v>14</v>
      </c>
      <c r="H312">
        <v>16</v>
      </c>
      <c r="I312" s="5">
        <f t="shared" si="17"/>
        <v>99.13</v>
      </c>
      <c r="J312" t="s">
        <v>21</v>
      </c>
      <c r="K312" t="s">
        <v>22</v>
      </c>
      <c r="L312">
        <v>1270789200</v>
      </c>
      <c r="M312" s="9">
        <f t="shared" si="18"/>
        <v>40277.208333333336</v>
      </c>
      <c r="N312">
        <v>1272171600</v>
      </c>
      <c r="O312" s="9">
        <f t="shared" si="19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_xlfn.TEXTSPLIT(R312,"/")</f>
        <v>games</v>
      </c>
      <c r="T312" t="str">
        <v>video games</v>
      </c>
    </row>
    <row r="313" spans="1:20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16"/>
        <v>2.0337000000000001</v>
      </c>
      <c r="G313" t="s">
        <v>20</v>
      </c>
      <c r="H313">
        <v>121</v>
      </c>
      <c r="I313" s="5">
        <f t="shared" si="17"/>
        <v>105.88</v>
      </c>
      <c r="J313" t="s">
        <v>21</v>
      </c>
      <c r="K313" t="s">
        <v>22</v>
      </c>
      <c r="L313">
        <v>1297836000</v>
      </c>
      <c r="M313" s="9">
        <f t="shared" si="18"/>
        <v>40590.25</v>
      </c>
      <c r="N313">
        <v>1298872800</v>
      </c>
      <c r="O313" s="9">
        <f t="shared" si="19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_xlfn.TEXTSPLIT(R313,"/")</f>
        <v>theater</v>
      </c>
      <c r="T313" t="str">
        <v>plays</v>
      </c>
    </row>
    <row r="314" spans="1:20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16"/>
        <v>3.1023000000000001</v>
      </c>
      <c r="G314" t="s">
        <v>20</v>
      </c>
      <c r="H314">
        <v>3742</v>
      </c>
      <c r="I314" s="5">
        <f t="shared" si="17"/>
        <v>49</v>
      </c>
      <c r="J314" t="s">
        <v>21</v>
      </c>
      <c r="K314" t="s">
        <v>22</v>
      </c>
      <c r="L314">
        <v>1382677200</v>
      </c>
      <c r="M314" s="9">
        <f t="shared" si="18"/>
        <v>41572.208333333336</v>
      </c>
      <c r="N314">
        <v>1383282000</v>
      </c>
      <c r="O314" s="9">
        <f t="shared" si="19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_xlfn.TEXTSPLIT(R314,"/")</f>
        <v>theater</v>
      </c>
      <c r="T314" t="str">
        <v>plays</v>
      </c>
    </row>
    <row r="315" spans="1:20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16"/>
        <v>3.9531999999999998</v>
      </c>
      <c r="G315" t="s">
        <v>20</v>
      </c>
      <c r="H315">
        <v>223</v>
      </c>
      <c r="I315" s="5">
        <f t="shared" si="17"/>
        <v>39</v>
      </c>
      <c r="J315" t="s">
        <v>21</v>
      </c>
      <c r="K315" t="s">
        <v>22</v>
      </c>
      <c r="L315">
        <v>1330322400</v>
      </c>
      <c r="M315" s="9">
        <f t="shared" si="18"/>
        <v>40966.25</v>
      </c>
      <c r="N315">
        <v>1330495200</v>
      </c>
      <c r="O315" s="9">
        <f t="shared" si="19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_xlfn.TEXTSPLIT(R315,"/")</f>
        <v>music</v>
      </c>
      <c r="T315" t="str">
        <v>rock</v>
      </c>
    </row>
    <row r="316" spans="1:20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16"/>
        <v>2.9470999999999998</v>
      </c>
      <c r="G316" t="s">
        <v>20</v>
      </c>
      <c r="H316">
        <v>133</v>
      </c>
      <c r="I316" s="5">
        <f t="shared" si="17"/>
        <v>31.02</v>
      </c>
      <c r="J316" t="s">
        <v>21</v>
      </c>
      <c r="K316" t="s">
        <v>22</v>
      </c>
      <c r="L316">
        <v>1552366800</v>
      </c>
      <c r="M316" s="9">
        <f t="shared" si="18"/>
        <v>43536.208333333328</v>
      </c>
      <c r="N316">
        <v>1552798800</v>
      </c>
      <c r="O316" s="9">
        <f t="shared" si="19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_xlfn.TEXTSPLIT(R316,"/")</f>
        <v>film &amp; video</v>
      </c>
      <c r="T316" t="str">
        <v>documentary</v>
      </c>
    </row>
    <row r="317" spans="1:20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16"/>
        <v>0.33889999999999998</v>
      </c>
      <c r="G317" t="s">
        <v>14</v>
      </c>
      <c r="H317">
        <v>31</v>
      </c>
      <c r="I317" s="5">
        <f t="shared" si="17"/>
        <v>103.87</v>
      </c>
      <c r="J317" t="s">
        <v>21</v>
      </c>
      <c r="K317" t="s">
        <v>22</v>
      </c>
      <c r="L317">
        <v>1400907600</v>
      </c>
      <c r="M317" s="9">
        <f t="shared" si="18"/>
        <v>41783.208333333336</v>
      </c>
      <c r="N317">
        <v>1403413200</v>
      </c>
      <c r="O317" s="9">
        <f t="shared" si="19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_xlfn.TEXTSPLIT(R317,"/")</f>
        <v>theater</v>
      </c>
      <c r="T317" t="str">
        <v>plays</v>
      </c>
    </row>
    <row r="318" spans="1:20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16"/>
        <v>0.66679999999999995</v>
      </c>
      <c r="G318" t="s">
        <v>14</v>
      </c>
      <c r="H318">
        <v>108</v>
      </c>
      <c r="I318" s="5">
        <f t="shared" si="17"/>
        <v>59.27</v>
      </c>
      <c r="J318" t="s">
        <v>107</v>
      </c>
      <c r="K318" t="s">
        <v>108</v>
      </c>
      <c r="L318">
        <v>1574143200</v>
      </c>
      <c r="M318" s="9">
        <f t="shared" si="18"/>
        <v>43788.25</v>
      </c>
      <c r="N318">
        <v>1574229600</v>
      </c>
      <c r="O318" s="9">
        <f t="shared" si="19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_xlfn.TEXTSPLIT(R318,"/")</f>
        <v>food</v>
      </c>
      <c r="T318" t="str">
        <v>food trucks</v>
      </c>
    </row>
    <row r="319" spans="1:20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16"/>
        <v>0.1923</v>
      </c>
      <c r="G319" t="s">
        <v>14</v>
      </c>
      <c r="H319">
        <v>30</v>
      </c>
      <c r="I319" s="5">
        <f t="shared" si="17"/>
        <v>42.3</v>
      </c>
      <c r="J319" t="s">
        <v>21</v>
      </c>
      <c r="K319" t="s">
        <v>22</v>
      </c>
      <c r="L319">
        <v>1494738000</v>
      </c>
      <c r="M319" s="9">
        <f t="shared" si="18"/>
        <v>42869.208333333328</v>
      </c>
      <c r="N319">
        <v>1495861200</v>
      </c>
      <c r="O319" s="9">
        <f t="shared" si="19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_xlfn.TEXTSPLIT(R319,"/")</f>
        <v>theater</v>
      </c>
      <c r="T319" t="str">
        <v>plays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16"/>
        <v>0.15840000000000001</v>
      </c>
      <c r="G320" t="s">
        <v>14</v>
      </c>
      <c r="H320">
        <v>17</v>
      </c>
      <c r="I320" s="5">
        <f t="shared" si="17"/>
        <v>53.12</v>
      </c>
      <c r="J320" t="s">
        <v>21</v>
      </c>
      <c r="K320" t="s">
        <v>22</v>
      </c>
      <c r="L320">
        <v>1392357600</v>
      </c>
      <c r="M320" s="9">
        <f t="shared" si="18"/>
        <v>41684.25</v>
      </c>
      <c r="N320">
        <v>1392530400</v>
      </c>
      <c r="O320" s="9">
        <f t="shared" si="19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_xlfn.TEXTSPLIT(R320,"/")</f>
        <v>music</v>
      </c>
      <c r="T320" t="str">
        <v>rock</v>
      </c>
    </row>
    <row r="321" spans="1:20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16"/>
        <v>0.38700000000000001</v>
      </c>
      <c r="G321" t="s">
        <v>74</v>
      </c>
      <c r="H321">
        <v>64</v>
      </c>
      <c r="I321" s="5">
        <f t="shared" si="17"/>
        <v>50.8</v>
      </c>
      <c r="J321" t="s">
        <v>21</v>
      </c>
      <c r="K321" t="s">
        <v>22</v>
      </c>
      <c r="L321">
        <v>1281589200</v>
      </c>
      <c r="M321" s="9">
        <f t="shared" si="18"/>
        <v>40402.208333333336</v>
      </c>
      <c r="N321">
        <v>1283662800</v>
      </c>
      <c r="O321" s="9">
        <f t="shared" si="19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_xlfn.TEXTSPLIT(R321,"/")</f>
        <v>technology</v>
      </c>
      <c r="T321" t="str">
        <v>web</v>
      </c>
    </row>
    <row r="322" spans="1:20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16"/>
        <v>9.5899999999999999E-2</v>
      </c>
      <c r="G322" t="s">
        <v>14</v>
      </c>
      <c r="H322">
        <v>80</v>
      </c>
      <c r="I322" s="5">
        <f t="shared" si="17"/>
        <v>101.15</v>
      </c>
      <c r="J322" t="s">
        <v>21</v>
      </c>
      <c r="K322" t="s">
        <v>22</v>
      </c>
      <c r="L322">
        <v>1305003600</v>
      </c>
      <c r="M322" s="9">
        <f t="shared" si="18"/>
        <v>40673.208333333336</v>
      </c>
      <c r="N322">
        <v>1305781200</v>
      </c>
      <c r="O322" s="9">
        <f t="shared" si="19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_xlfn.TEXTSPLIT(R322,"/")</f>
        <v>publishing</v>
      </c>
      <c r="T322" t="str">
        <v>fiction</v>
      </c>
    </row>
    <row r="323" spans="1:20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ref="F323:F386" si="20">ROUND(E323/D323,4)</f>
        <v>0.94140000000000001</v>
      </c>
      <c r="G323" t="s">
        <v>14</v>
      </c>
      <c r="H323">
        <v>2468</v>
      </c>
      <c r="I323" s="5">
        <f t="shared" ref="I323:I386" si="21">IF(H323=0,"0",(ROUND(E323/H323,2)))</f>
        <v>65</v>
      </c>
      <c r="J323" t="s">
        <v>21</v>
      </c>
      <c r="K323" t="s">
        <v>22</v>
      </c>
      <c r="L323">
        <v>1301634000</v>
      </c>
      <c r="M323" s="9">
        <f t="shared" ref="M323:M386" si="22">(((L323/60)/60)/24)+DATE(1970,1,1)</f>
        <v>40634.208333333336</v>
      </c>
      <c r="N323">
        <v>1302325200</v>
      </c>
      <c r="O323" s="9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_xlfn.TEXTSPLIT(R323,"/")</f>
        <v>film &amp; video</v>
      </c>
      <c r="T323" t="str">
        <v>shorts</v>
      </c>
    </row>
    <row r="324" spans="1:20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si="20"/>
        <v>1.6656</v>
      </c>
      <c r="G324" t="s">
        <v>20</v>
      </c>
      <c r="H324">
        <v>5168</v>
      </c>
      <c r="I324" s="5">
        <f t="shared" si="21"/>
        <v>38</v>
      </c>
      <c r="J324" t="s">
        <v>21</v>
      </c>
      <c r="K324" t="s">
        <v>22</v>
      </c>
      <c r="L324">
        <v>1290664800</v>
      </c>
      <c r="M324" s="9">
        <f t="shared" si="22"/>
        <v>40507.25</v>
      </c>
      <c r="N324">
        <v>1291788000</v>
      </c>
      <c r="O324" s="9">
        <f t="shared" si="23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_xlfn.TEXTSPLIT(R324,"/")</f>
        <v>theater</v>
      </c>
      <c r="T324" t="str">
        <v>plays</v>
      </c>
    </row>
    <row r="325" spans="1:20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20"/>
        <v>0.24129999999999999</v>
      </c>
      <c r="G325" t="s">
        <v>14</v>
      </c>
      <c r="H325">
        <v>26</v>
      </c>
      <c r="I325" s="5">
        <f t="shared" si="21"/>
        <v>82.62</v>
      </c>
      <c r="J325" t="s">
        <v>40</v>
      </c>
      <c r="K325" t="s">
        <v>41</v>
      </c>
      <c r="L325">
        <v>1395896400</v>
      </c>
      <c r="M325" s="9">
        <f t="shared" si="22"/>
        <v>41725.208333333336</v>
      </c>
      <c r="N325">
        <v>1396069200</v>
      </c>
      <c r="O325" s="9">
        <f t="shared" si="23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_xlfn.TEXTSPLIT(R325,"/")</f>
        <v>film &amp; video</v>
      </c>
      <c r="T325" t="str">
        <v>documentary</v>
      </c>
    </row>
    <row r="326" spans="1:20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20"/>
        <v>1.6406000000000001</v>
      </c>
      <c r="G326" t="s">
        <v>20</v>
      </c>
      <c r="H326">
        <v>307</v>
      </c>
      <c r="I326" s="5">
        <f t="shared" si="21"/>
        <v>37.94</v>
      </c>
      <c r="J326" t="s">
        <v>21</v>
      </c>
      <c r="K326" t="s">
        <v>22</v>
      </c>
      <c r="L326">
        <v>1434862800</v>
      </c>
      <c r="M326" s="9">
        <f t="shared" si="22"/>
        <v>42176.208333333328</v>
      </c>
      <c r="N326">
        <v>1435899600</v>
      </c>
      <c r="O326" s="9">
        <f t="shared" si="23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_xlfn.TEXTSPLIT(R326,"/")</f>
        <v>theater</v>
      </c>
      <c r="T326" t="str">
        <v>plays</v>
      </c>
    </row>
    <row r="327" spans="1:20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20"/>
        <v>0.90720000000000001</v>
      </c>
      <c r="G327" t="s">
        <v>14</v>
      </c>
      <c r="H327">
        <v>73</v>
      </c>
      <c r="I327" s="5">
        <f t="shared" si="21"/>
        <v>80.78</v>
      </c>
      <c r="J327" t="s">
        <v>21</v>
      </c>
      <c r="K327" t="s">
        <v>22</v>
      </c>
      <c r="L327">
        <v>1529125200</v>
      </c>
      <c r="M327" s="9">
        <f t="shared" si="22"/>
        <v>43267.208333333328</v>
      </c>
      <c r="N327">
        <v>1531112400</v>
      </c>
      <c r="O327" s="9">
        <f t="shared" si="23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_xlfn.TEXTSPLIT(R327,"/")</f>
        <v>theater</v>
      </c>
      <c r="T327" t="str">
        <v>plays</v>
      </c>
    </row>
    <row r="328" spans="1:20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20"/>
        <v>0.46189999999999998</v>
      </c>
      <c r="G328" t="s">
        <v>14</v>
      </c>
      <c r="H328">
        <v>128</v>
      </c>
      <c r="I328" s="5">
        <f t="shared" si="21"/>
        <v>25.98</v>
      </c>
      <c r="J328" t="s">
        <v>21</v>
      </c>
      <c r="K328" t="s">
        <v>22</v>
      </c>
      <c r="L328">
        <v>1451109600</v>
      </c>
      <c r="M328" s="9">
        <f t="shared" si="22"/>
        <v>42364.25</v>
      </c>
      <c r="N328">
        <v>1451628000</v>
      </c>
      <c r="O328" s="9">
        <f t="shared" si="23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_xlfn.TEXTSPLIT(R328,"/")</f>
        <v>film &amp; video</v>
      </c>
      <c r="T328" t="str">
        <v>animation</v>
      </c>
    </row>
    <row r="329" spans="1:20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20"/>
        <v>0.38540000000000002</v>
      </c>
      <c r="G329" t="s">
        <v>14</v>
      </c>
      <c r="H329">
        <v>33</v>
      </c>
      <c r="I329" s="5">
        <f t="shared" si="21"/>
        <v>30.36</v>
      </c>
      <c r="J329" t="s">
        <v>21</v>
      </c>
      <c r="K329" t="s">
        <v>22</v>
      </c>
      <c r="L329">
        <v>1566968400</v>
      </c>
      <c r="M329" s="9">
        <f t="shared" si="22"/>
        <v>43705.208333333328</v>
      </c>
      <c r="N329">
        <v>1567314000</v>
      </c>
      <c r="O329" s="9">
        <f t="shared" si="23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_xlfn.TEXTSPLIT(R329,"/")</f>
        <v>theater</v>
      </c>
      <c r="T329" t="str">
        <v>plays</v>
      </c>
    </row>
    <row r="330" spans="1:20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20"/>
        <v>1.3355999999999999</v>
      </c>
      <c r="G330" t="s">
        <v>20</v>
      </c>
      <c r="H330">
        <v>2441</v>
      </c>
      <c r="I330" s="5">
        <f t="shared" si="21"/>
        <v>54</v>
      </c>
      <c r="J330" t="s">
        <v>21</v>
      </c>
      <c r="K330" t="s">
        <v>22</v>
      </c>
      <c r="L330">
        <v>1543557600</v>
      </c>
      <c r="M330" s="9">
        <f t="shared" si="22"/>
        <v>43434.25</v>
      </c>
      <c r="N330">
        <v>1544508000</v>
      </c>
      <c r="O330" s="9">
        <f t="shared" si="23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_xlfn.TEXTSPLIT(R330,"/")</f>
        <v>music</v>
      </c>
      <c r="T330" t="str">
        <v>rock</v>
      </c>
    </row>
    <row r="331" spans="1:20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20"/>
        <v>0.22900000000000001</v>
      </c>
      <c r="G331" t="s">
        <v>47</v>
      </c>
      <c r="H331">
        <v>211</v>
      </c>
      <c r="I331" s="5">
        <f t="shared" si="21"/>
        <v>101.79</v>
      </c>
      <c r="J331" t="s">
        <v>21</v>
      </c>
      <c r="K331" t="s">
        <v>22</v>
      </c>
      <c r="L331">
        <v>1481522400</v>
      </c>
      <c r="M331" s="9">
        <f t="shared" si="22"/>
        <v>42716.25</v>
      </c>
      <c r="N331">
        <v>1482472800</v>
      </c>
      <c r="O331" s="9">
        <f t="shared" si="23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_xlfn.TEXTSPLIT(R331,"/")</f>
        <v>games</v>
      </c>
      <c r="T331" t="str">
        <v>video games</v>
      </c>
    </row>
    <row r="332" spans="1:20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20"/>
        <v>1.8495999999999999</v>
      </c>
      <c r="G332" t="s">
        <v>20</v>
      </c>
      <c r="H332">
        <v>1385</v>
      </c>
      <c r="I332" s="5">
        <f t="shared" si="21"/>
        <v>45</v>
      </c>
      <c r="J332" t="s">
        <v>40</v>
      </c>
      <c r="K332" t="s">
        <v>41</v>
      </c>
      <c r="L332">
        <v>1512712800</v>
      </c>
      <c r="M332" s="9">
        <f t="shared" si="22"/>
        <v>43077.25</v>
      </c>
      <c r="N332">
        <v>1512799200</v>
      </c>
      <c r="O332" s="9">
        <f t="shared" si="23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_xlfn.TEXTSPLIT(R332,"/")</f>
        <v>film &amp; video</v>
      </c>
      <c r="T332" t="str">
        <v>documentary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20"/>
        <v>4.4372999999999996</v>
      </c>
      <c r="G333" t="s">
        <v>20</v>
      </c>
      <c r="H333">
        <v>190</v>
      </c>
      <c r="I333" s="5">
        <f t="shared" si="21"/>
        <v>77.069999999999993</v>
      </c>
      <c r="J333" t="s">
        <v>21</v>
      </c>
      <c r="K333" t="s">
        <v>22</v>
      </c>
      <c r="L333">
        <v>1324274400</v>
      </c>
      <c r="M333" s="9">
        <f t="shared" si="22"/>
        <v>40896.25</v>
      </c>
      <c r="N333">
        <v>1324360800</v>
      </c>
      <c r="O333" s="9">
        <f t="shared" si="23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_xlfn.TEXTSPLIT(R333,"/")</f>
        <v>food</v>
      </c>
      <c r="T333" t="str">
        <v>food trucks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20"/>
        <v>1.9998</v>
      </c>
      <c r="G334" t="s">
        <v>20</v>
      </c>
      <c r="H334">
        <v>470</v>
      </c>
      <c r="I334" s="5">
        <f t="shared" si="21"/>
        <v>88.08</v>
      </c>
      <c r="J334" t="s">
        <v>21</v>
      </c>
      <c r="K334" t="s">
        <v>22</v>
      </c>
      <c r="L334">
        <v>1364446800</v>
      </c>
      <c r="M334" s="9">
        <f t="shared" si="22"/>
        <v>41361.208333333336</v>
      </c>
      <c r="N334">
        <v>1364533200</v>
      </c>
      <c r="O334" s="9">
        <f t="shared" si="23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_xlfn.TEXTSPLIT(R334,"/")</f>
        <v>technology</v>
      </c>
      <c r="T334" t="str">
        <v>wearables</v>
      </c>
    </row>
    <row r="335" spans="1:20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20"/>
        <v>1.2396</v>
      </c>
      <c r="G335" t="s">
        <v>20</v>
      </c>
      <c r="H335">
        <v>253</v>
      </c>
      <c r="I335" s="5">
        <f t="shared" si="21"/>
        <v>47.04</v>
      </c>
      <c r="J335" t="s">
        <v>21</v>
      </c>
      <c r="K335" t="s">
        <v>22</v>
      </c>
      <c r="L335">
        <v>1542693600</v>
      </c>
      <c r="M335" s="9">
        <f t="shared" si="22"/>
        <v>43424.25</v>
      </c>
      <c r="N335">
        <v>1545112800</v>
      </c>
      <c r="O335" s="9">
        <f t="shared" si="23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_xlfn.TEXTSPLIT(R335,"/")</f>
        <v>theater</v>
      </c>
      <c r="T335" t="str">
        <v>plays</v>
      </c>
    </row>
    <row r="336" spans="1:20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20"/>
        <v>1.8661000000000001</v>
      </c>
      <c r="G336" t="s">
        <v>20</v>
      </c>
      <c r="H336">
        <v>1113</v>
      </c>
      <c r="I336" s="5">
        <f t="shared" si="21"/>
        <v>111</v>
      </c>
      <c r="J336" t="s">
        <v>21</v>
      </c>
      <c r="K336" t="s">
        <v>22</v>
      </c>
      <c r="L336">
        <v>1515564000</v>
      </c>
      <c r="M336" s="9">
        <f t="shared" si="22"/>
        <v>43110.25</v>
      </c>
      <c r="N336">
        <v>1516168800</v>
      </c>
      <c r="O336" s="9">
        <f t="shared" si="23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_xlfn.TEXTSPLIT(R336,"/")</f>
        <v>music</v>
      </c>
      <c r="T336" t="str">
        <v>rock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20"/>
        <v>1.1429</v>
      </c>
      <c r="G337" t="s">
        <v>20</v>
      </c>
      <c r="H337">
        <v>2283</v>
      </c>
      <c r="I337" s="5">
        <f t="shared" si="21"/>
        <v>87</v>
      </c>
      <c r="J337" t="s">
        <v>21</v>
      </c>
      <c r="K337" t="s">
        <v>22</v>
      </c>
      <c r="L337">
        <v>1573797600</v>
      </c>
      <c r="M337" s="9">
        <f t="shared" si="22"/>
        <v>43784.25</v>
      </c>
      <c r="N337">
        <v>1574920800</v>
      </c>
      <c r="O337" s="9">
        <f t="shared" si="23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_xlfn.TEXTSPLIT(R337,"/")</f>
        <v>music</v>
      </c>
      <c r="T337" t="str">
        <v>rock</v>
      </c>
    </row>
    <row r="338" spans="1:20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20"/>
        <v>0.97030000000000005</v>
      </c>
      <c r="G338" t="s">
        <v>14</v>
      </c>
      <c r="H338">
        <v>1072</v>
      </c>
      <c r="I338" s="5">
        <f t="shared" si="21"/>
        <v>63.99</v>
      </c>
      <c r="J338" t="s">
        <v>21</v>
      </c>
      <c r="K338" t="s">
        <v>22</v>
      </c>
      <c r="L338">
        <v>1292392800</v>
      </c>
      <c r="M338" s="9">
        <f t="shared" si="22"/>
        <v>40527.25</v>
      </c>
      <c r="N338">
        <v>1292479200</v>
      </c>
      <c r="O338" s="9">
        <f t="shared" si="23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_xlfn.TEXTSPLIT(R338,"/")</f>
        <v>music</v>
      </c>
      <c r="T338" t="str">
        <v>rock</v>
      </c>
    </row>
    <row r="339" spans="1:20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20"/>
        <v>1.2282</v>
      </c>
      <c r="G339" t="s">
        <v>20</v>
      </c>
      <c r="H339">
        <v>1095</v>
      </c>
      <c r="I339" s="5">
        <f t="shared" si="21"/>
        <v>105.99</v>
      </c>
      <c r="J339" t="s">
        <v>21</v>
      </c>
      <c r="K339" t="s">
        <v>22</v>
      </c>
      <c r="L339">
        <v>1573452000</v>
      </c>
      <c r="M339" s="9">
        <f t="shared" si="22"/>
        <v>43780.25</v>
      </c>
      <c r="N339">
        <v>1573538400</v>
      </c>
      <c r="O339" s="9">
        <f t="shared" si="23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_xlfn.TEXTSPLIT(R339,"/")</f>
        <v>theater</v>
      </c>
      <c r="T339" t="str">
        <v>plays</v>
      </c>
    </row>
    <row r="340" spans="1:20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20"/>
        <v>1.7914000000000001</v>
      </c>
      <c r="G340" t="s">
        <v>20</v>
      </c>
      <c r="H340">
        <v>1690</v>
      </c>
      <c r="I340" s="5">
        <f t="shared" si="21"/>
        <v>73.989999999999995</v>
      </c>
      <c r="J340" t="s">
        <v>21</v>
      </c>
      <c r="K340" t="s">
        <v>22</v>
      </c>
      <c r="L340">
        <v>1317790800</v>
      </c>
      <c r="M340" s="9">
        <f t="shared" si="22"/>
        <v>40821.208333333336</v>
      </c>
      <c r="N340">
        <v>1320382800</v>
      </c>
      <c r="O340" s="9">
        <f t="shared" si="23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_xlfn.TEXTSPLIT(R340,"/")</f>
        <v>theater</v>
      </c>
      <c r="T340" t="str">
        <v>plays</v>
      </c>
    </row>
    <row r="341" spans="1:20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20"/>
        <v>0.79949999999999999</v>
      </c>
      <c r="G341" t="s">
        <v>74</v>
      </c>
      <c r="H341">
        <v>1297</v>
      </c>
      <c r="I341" s="5">
        <f t="shared" si="21"/>
        <v>84.02</v>
      </c>
      <c r="J341" t="s">
        <v>15</v>
      </c>
      <c r="K341" t="s">
        <v>16</v>
      </c>
      <c r="L341">
        <v>1501650000</v>
      </c>
      <c r="M341" s="9">
        <f t="shared" si="22"/>
        <v>42949.208333333328</v>
      </c>
      <c r="N341">
        <v>1502859600</v>
      </c>
      <c r="O341" s="9">
        <f t="shared" si="23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_xlfn.TEXTSPLIT(R341,"/")</f>
        <v>theater</v>
      </c>
      <c r="T341" t="str">
        <v>plays</v>
      </c>
    </row>
    <row r="342" spans="1:20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20"/>
        <v>0.94240000000000002</v>
      </c>
      <c r="G342" t="s">
        <v>14</v>
      </c>
      <c r="H342">
        <v>393</v>
      </c>
      <c r="I342" s="5">
        <f t="shared" si="21"/>
        <v>88.97</v>
      </c>
      <c r="J342" t="s">
        <v>21</v>
      </c>
      <c r="K342" t="s">
        <v>22</v>
      </c>
      <c r="L342">
        <v>1323669600</v>
      </c>
      <c r="M342" s="9">
        <f t="shared" si="22"/>
        <v>40889.25</v>
      </c>
      <c r="N342">
        <v>1323756000</v>
      </c>
      <c r="O342" s="9">
        <f t="shared" si="23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_xlfn.TEXTSPLIT(R342,"/")</f>
        <v>photography</v>
      </c>
      <c r="T342" t="str">
        <v>photography books</v>
      </c>
    </row>
    <row r="343" spans="1:20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20"/>
        <v>0.84670000000000001</v>
      </c>
      <c r="G343" t="s">
        <v>14</v>
      </c>
      <c r="H343">
        <v>1257</v>
      </c>
      <c r="I343" s="5">
        <f t="shared" si="21"/>
        <v>76.989999999999995</v>
      </c>
      <c r="J343" t="s">
        <v>21</v>
      </c>
      <c r="K343" t="s">
        <v>22</v>
      </c>
      <c r="L343">
        <v>1440738000</v>
      </c>
      <c r="M343" s="9">
        <f t="shared" si="22"/>
        <v>42244.208333333328</v>
      </c>
      <c r="N343">
        <v>1441342800</v>
      </c>
      <c r="O343" s="9">
        <f t="shared" si="23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_xlfn.TEXTSPLIT(R343,"/")</f>
        <v>music</v>
      </c>
      <c r="T343" t="str">
        <v>indie rock</v>
      </c>
    </row>
    <row r="344" spans="1:20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20"/>
        <v>0.66520000000000001</v>
      </c>
      <c r="G344" t="s">
        <v>14</v>
      </c>
      <c r="H344">
        <v>328</v>
      </c>
      <c r="I344" s="5">
        <f t="shared" si="21"/>
        <v>97.15</v>
      </c>
      <c r="J344" t="s">
        <v>21</v>
      </c>
      <c r="K344" t="s">
        <v>22</v>
      </c>
      <c r="L344">
        <v>1374296400</v>
      </c>
      <c r="M344" s="9">
        <f t="shared" si="22"/>
        <v>41475.208333333336</v>
      </c>
      <c r="N344">
        <v>1375333200</v>
      </c>
      <c r="O344" s="9">
        <f t="shared" si="23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_xlfn.TEXTSPLIT(R344,"/")</f>
        <v>theater</v>
      </c>
      <c r="T344" t="str">
        <v>plays</v>
      </c>
    </row>
    <row r="345" spans="1:20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20"/>
        <v>0.53920000000000001</v>
      </c>
      <c r="G345" t="s">
        <v>14</v>
      </c>
      <c r="H345">
        <v>147</v>
      </c>
      <c r="I345" s="5">
        <f t="shared" si="21"/>
        <v>33.01</v>
      </c>
      <c r="J345" t="s">
        <v>21</v>
      </c>
      <c r="K345" t="s">
        <v>22</v>
      </c>
      <c r="L345">
        <v>1384840800</v>
      </c>
      <c r="M345" s="9">
        <f t="shared" si="22"/>
        <v>41597.25</v>
      </c>
      <c r="N345">
        <v>1389420000</v>
      </c>
      <c r="O345" s="9">
        <f t="shared" si="23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_xlfn.TEXTSPLIT(R345,"/")</f>
        <v>theater</v>
      </c>
      <c r="T345" t="str">
        <v>plays</v>
      </c>
    </row>
    <row r="346" spans="1:20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20"/>
        <v>0.41980000000000001</v>
      </c>
      <c r="G346" t="s">
        <v>14</v>
      </c>
      <c r="H346">
        <v>830</v>
      </c>
      <c r="I346" s="5">
        <f t="shared" si="21"/>
        <v>99.95</v>
      </c>
      <c r="J346" t="s">
        <v>21</v>
      </c>
      <c r="K346" t="s">
        <v>22</v>
      </c>
      <c r="L346">
        <v>1516600800</v>
      </c>
      <c r="M346" s="9">
        <f t="shared" si="22"/>
        <v>43122.25</v>
      </c>
      <c r="N346">
        <v>1520056800</v>
      </c>
      <c r="O346" s="9">
        <f t="shared" si="23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_xlfn.TEXTSPLIT(R346,"/")</f>
        <v>games</v>
      </c>
      <c r="T346" t="str">
        <v>video games</v>
      </c>
    </row>
    <row r="347" spans="1:20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20"/>
        <v>0.1469</v>
      </c>
      <c r="G347" t="s">
        <v>14</v>
      </c>
      <c r="H347">
        <v>331</v>
      </c>
      <c r="I347" s="5">
        <f t="shared" si="21"/>
        <v>69.97</v>
      </c>
      <c r="J347" t="s">
        <v>40</v>
      </c>
      <c r="K347" t="s">
        <v>41</v>
      </c>
      <c r="L347">
        <v>1436418000</v>
      </c>
      <c r="M347" s="9">
        <f t="shared" si="22"/>
        <v>42194.208333333328</v>
      </c>
      <c r="N347">
        <v>1436504400</v>
      </c>
      <c r="O347" s="9">
        <f t="shared" si="23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_xlfn.TEXTSPLIT(R347,"/")</f>
        <v>film &amp; video</v>
      </c>
      <c r="T347" t="str">
        <v>drama</v>
      </c>
    </row>
    <row r="348" spans="1:20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20"/>
        <v>0.3448</v>
      </c>
      <c r="G348" t="s">
        <v>14</v>
      </c>
      <c r="H348">
        <v>25</v>
      </c>
      <c r="I348" s="5">
        <f t="shared" si="21"/>
        <v>110.32</v>
      </c>
      <c r="J348" t="s">
        <v>21</v>
      </c>
      <c r="K348" t="s">
        <v>22</v>
      </c>
      <c r="L348">
        <v>1503550800</v>
      </c>
      <c r="M348" s="9">
        <f t="shared" si="22"/>
        <v>42971.208333333328</v>
      </c>
      <c r="N348">
        <v>1508302800</v>
      </c>
      <c r="O348" s="9">
        <f t="shared" si="23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_xlfn.TEXTSPLIT(R348,"/")</f>
        <v>music</v>
      </c>
      <c r="T348" t="str">
        <v>indie rock</v>
      </c>
    </row>
    <row r="349" spans="1:20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20"/>
        <v>14.0078</v>
      </c>
      <c r="G349" t="s">
        <v>20</v>
      </c>
      <c r="H349">
        <v>191</v>
      </c>
      <c r="I349" s="5">
        <f t="shared" si="21"/>
        <v>66.010000000000005</v>
      </c>
      <c r="J349" t="s">
        <v>21</v>
      </c>
      <c r="K349" t="s">
        <v>22</v>
      </c>
      <c r="L349">
        <v>1423634400</v>
      </c>
      <c r="M349" s="9">
        <f t="shared" si="22"/>
        <v>42046.25</v>
      </c>
      <c r="N349">
        <v>1425708000</v>
      </c>
      <c r="O349" s="9">
        <f t="shared" si="23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_xlfn.TEXTSPLIT(R349,"/")</f>
        <v>technology</v>
      </c>
      <c r="T349" t="str">
        <v>web</v>
      </c>
    </row>
    <row r="350" spans="1:20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20"/>
        <v>0.7177</v>
      </c>
      <c r="G350" t="s">
        <v>14</v>
      </c>
      <c r="H350">
        <v>3483</v>
      </c>
      <c r="I350" s="5">
        <f t="shared" si="21"/>
        <v>41.01</v>
      </c>
      <c r="J350" t="s">
        <v>21</v>
      </c>
      <c r="K350" t="s">
        <v>22</v>
      </c>
      <c r="L350">
        <v>1487224800</v>
      </c>
      <c r="M350" s="9">
        <f t="shared" si="22"/>
        <v>42782.25</v>
      </c>
      <c r="N350">
        <v>1488348000</v>
      </c>
      <c r="O350" s="9">
        <f t="shared" si="23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_xlfn.TEXTSPLIT(R350,"/")</f>
        <v>food</v>
      </c>
      <c r="T350" t="str">
        <v>food trucks</v>
      </c>
    </row>
    <row r="351" spans="1:20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20"/>
        <v>0.53069999999999995</v>
      </c>
      <c r="G351" t="s">
        <v>14</v>
      </c>
      <c r="H351">
        <v>923</v>
      </c>
      <c r="I351" s="5">
        <f t="shared" si="21"/>
        <v>103.96</v>
      </c>
      <c r="J351" t="s">
        <v>21</v>
      </c>
      <c r="K351" t="s">
        <v>22</v>
      </c>
      <c r="L351">
        <v>1500008400</v>
      </c>
      <c r="M351" s="9">
        <f t="shared" si="22"/>
        <v>42930.208333333328</v>
      </c>
      <c r="N351">
        <v>1502600400</v>
      </c>
      <c r="O351" s="9">
        <f t="shared" si="23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_xlfn.TEXTSPLIT(R351,"/")</f>
        <v>theater</v>
      </c>
      <c r="T351" t="str">
        <v>plays</v>
      </c>
    </row>
    <row r="352" spans="1:20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20"/>
        <v>0.05</v>
      </c>
      <c r="G352" t="s">
        <v>14</v>
      </c>
      <c r="H352">
        <v>1</v>
      </c>
      <c r="I352" s="5">
        <f t="shared" si="21"/>
        <v>5</v>
      </c>
      <c r="J352" t="s">
        <v>21</v>
      </c>
      <c r="K352" t="s">
        <v>22</v>
      </c>
      <c r="L352">
        <v>1432098000</v>
      </c>
      <c r="M352" s="9">
        <f t="shared" si="22"/>
        <v>42144.208333333328</v>
      </c>
      <c r="N352">
        <v>1433653200</v>
      </c>
      <c r="O352" s="9">
        <f t="shared" si="23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_xlfn.TEXTSPLIT(R352,"/")</f>
        <v>music</v>
      </c>
      <c r="T352" t="str">
        <v>jazz</v>
      </c>
    </row>
    <row r="353" spans="1:20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20"/>
        <v>1.2770999999999999</v>
      </c>
      <c r="G353" t="s">
        <v>20</v>
      </c>
      <c r="H353">
        <v>2013</v>
      </c>
      <c r="I353" s="5">
        <f t="shared" si="21"/>
        <v>47.01</v>
      </c>
      <c r="J353" t="s">
        <v>21</v>
      </c>
      <c r="K353" t="s">
        <v>22</v>
      </c>
      <c r="L353">
        <v>1440392400</v>
      </c>
      <c r="M353" s="9">
        <f t="shared" si="22"/>
        <v>42240.208333333328</v>
      </c>
      <c r="N353">
        <v>1441602000</v>
      </c>
      <c r="O353" s="9">
        <f t="shared" si="23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_xlfn.TEXTSPLIT(R353,"/")</f>
        <v>music</v>
      </c>
      <c r="T353" t="str">
        <v>rock</v>
      </c>
    </row>
    <row r="354" spans="1:20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20"/>
        <v>0.34889999999999999</v>
      </c>
      <c r="G354" t="s">
        <v>14</v>
      </c>
      <c r="H354">
        <v>33</v>
      </c>
      <c r="I354" s="5">
        <f t="shared" si="21"/>
        <v>29.61</v>
      </c>
      <c r="J354" t="s">
        <v>15</v>
      </c>
      <c r="K354" t="s">
        <v>16</v>
      </c>
      <c r="L354">
        <v>1446876000</v>
      </c>
      <c r="M354" s="9">
        <f t="shared" si="22"/>
        <v>42315.25</v>
      </c>
      <c r="N354">
        <v>1447567200</v>
      </c>
      <c r="O354" s="9">
        <f t="shared" si="23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_xlfn.TEXTSPLIT(R354,"/")</f>
        <v>theater</v>
      </c>
      <c r="T354" t="str">
        <v>plays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20"/>
        <v>4.1059999999999999</v>
      </c>
      <c r="G355" t="s">
        <v>20</v>
      </c>
      <c r="H355">
        <v>1703</v>
      </c>
      <c r="I355" s="5">
        <f t="shared" si="21"/>
        <v>81.010000000000005</v>
      </c>
      <c r="J355" t="s">
        <v>21</v>
      </c>
      <c r="K355" t="s">
        <v>22</v>
      </c>
      <c r="L355">
        <v>1562302800</v>
      </c>
      <c r="M355" s="9">
        <f t="shared" si="22"/>
        <v>43651.208333333328</v>
      </c>
      <c r="N355">
        <v>1562389200</v>
      </c>
      <c r="O355" s="9">
        <f t="shared" si="23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_xlfn.TEXTSPLIT(R355,"/")</f>
        <v>theater</v>
      </c>
      <c r="T355" t="str">
        <v>plays</v>
      </c>
    </row>
    <row r="356" spans="1:20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20"/>
        <v>1.2374000000000001</v>
      </c>
      <c r="G356" t="s">
        <v>20</v>
      </c>
      <c r="H356">
        <v>80</v>
      </c>
      <c r="I356" s="5">
        <f t="shared" si="21"/>
        <v>94.35</v>
      </c>
      <c r="J356" t="s">
        <v>36</v>
      </c>
      <c r="K356" t="s">
        <v>37</v>
      </c>
      <c r="L356">
        <v>1378184400</v>
      </c>
      <c r="M356" s="9">
        <f t="shared" si="22"/>
        <v>41520.208333333336</v>
      </c>
      <c r="N356">
        <v>1378789200</v>
      </c>
      <c r="O356" s="9">
        <f t="shared" si="23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_xlfn.TEXTSPLIT(R356,"/")</f>
        <v>film &amp; video</v>
      </c>
      <c r="T356" t="str">
        <v>documentary</v>
      </c>
    </row>
    <row r="357" spans="1:20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20"/>
        <v>0.5897</v>
      </c>
      <c r="G357" t="s">
        <v>47</v>
      </c>
      <c r="H357">
        <v>86</v>
      </c>
      <c r="I357" s="5">
        <f t="shared" si="21"/>
        <v>26.06</v>
      </c>
      <c r="J357" t="s">
        <v>21</v>
      </c>
      <c r="K357" t="s">
        <v>22</v>
      </c>
      <c r="L357">
        <v>1485064800</v>
      </c>
      <c r="M357" s="9">
        <f t="shared" si="22"/>
        <v>42757.25</v>
      </c>
      <c r="N357">
        <v>1488520800</v>
      </c>
      <c r="O357" s="9">
        <f t="shared" si="23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_xlfn.TEXTSPLIT(R357,"/")</f>
        <v>technology</v>
      </c>
      <c r="T357" t="str">
        <v>wearables</v>
      </c>
    </row>
    <row r="358" spans="1:20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20"/>
        <v>0.36890000000000001</v>
      </c>
      <c r="G358" t="s">
        <v>14</v>
      </c>
      <c r="H358">
        <v>40</v>
      </c>
      <c r="I358" s="5">
        <f t="shared" si="21"/>
        <v>85.78</v>
      </c>
      <c r="J358" t="s">
        <v>107</v>
      </c>
      <c r="K358" t="s">
        <v>108</v>
      </c>
      <c r="L358">
        <v>1326520800</v>
      </c>
      <c r="M358" s="9">
        <f t="shared" si="22"/>
        <v>40922.25</v>
      </c>
      <c r="N358">
        <v>1327298400</v>
      </c>
      <c r="O358" s="9">
        <f t="shared" si="23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_xlfn.TEXTSPLIT(R358,"/")</f>
        <v>theater</v>
      </c>
      <c r="T358" t="str">
        <v>plays</v>
      </c>
    </row>
    <row r="359" spans="1:20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20"/>
        <v>1.8491</v>
      </c>
      <c r="G359" t="s">
        <v>20</v>
      </c>
      <c r="H359">
        <v>41</v>
      </c>
      <c r="I359" s="5">
        <f t="shared" si="21"/>
        <v>103.73</v>
      </c>
      <c r="J359" t="s">
        <v>21</v>
      </c>
      <c r="K359" t="s">
        <v>22</v>
      </c>
      <c r="L359">
        <v>1441256400</v>
      </c>
      <c r="M359" s="9">
        <f t="shared" si="22"/>
        <v>42250.208333333328</v>
      </c>
      <c r="N359">
        <v>1443416400</v>
      </c>
      <c r="O359" s="9">
        <f t="shared" si="23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_xlfn.TEXTSPLIT(R359,"/")</f>
        <v>games</v>
      </c>
      <c r="T359" t="str">
        <v>video games</v>
      </c>
    </row>
    <row r="360" spans="1:20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20"/>
        <v>0.1181</v>
      </c>
      <c r="G360" t="s">
        <v>14</v>
      </c>
      <c r="H360">
        <v>23</v>
      </c>
      <c r="I360" s="5">
        <f t="shared" si="21"/>
        <v>49.83</v>
      </c>
      <c r="J360" t="s">
        <v>15</v>
      </c>
      <c r="K360" t="s">
        <v>16</v>
      </c>
      <c r="L360">
        <v>1533877200</v>
      </c>
      <c r="M360" s="9">
        <f t="shared" si="22"/>
        <v>43322.208333333328</v>
      </c>
      <c r="N360">
        <v>1534136400</v>
      </c>
      <c r="O360" s="9">
        <f t="shared" si="23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_xlfn.TEXTSPLIT(R360,"/")</f>
        <v>photography</v>
      </c>
      <c r="T360" t="str">
        <v>photography books</v>
      </c>
    </row>
    <row r="361" spans="1:20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20"/>
        <v>2.9870000000000001</v>
      </c>
      <c r="G361" t="s">
        <v>20</v>
      </c>
      <c r="H361">
        <v>187</v>
      </c>
      <c r="I361" s="5">
        <f t="shared" si="21"/>
        <v>63.89</v>
      </c>
      <c r="J361" t="s">
        <v>21</v>
      </c>
      <c r="K361" t="s">
        <v>22</v>
      </c>
      <c r="L361">
        <v>1314421200</v>
      </c>
      <c r="M361" s="9">
        <f t="shared" si="22"/>
        <v>40782.208333333336</v>
      </c>
      <c r="N361">
        <v>1315026000</v>
      </c>
      <c r="O361" s="9">
        <f t="shared" si="23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_xlfn.TEXTSPLIT(R361,"/")</f>
        <v>film &amp; video</v>
      </c>
      <c r="T361" t="str">
        <v>animation</v>
      </c>
    </row>
    <row r="362" spans="1:20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20"/>
        <v>2.2635000000000001</v>
      </c>
      <c r="G362" t="s">
        <v>20</v>
      </c>
      <c r="H362">
        <v>2875</v>
      </c>
      <c r="I362" s="5">
        <f t="shared" si="21"/>
        <v>47</v>
      </c>
      <c r="J362" t="s">
        <v>40</v>
      </c>
      <c r="K362" t="s">
        <v>41</v>
      </c>
      <c r="L362">
        <v>1293861600</v>
      </c>
      <c r="M362" s="9">
        <f t="shared" si="22"/>
        <v>40544.25</v>
      </c>
      <c r="N362">
        <v>1295071200</v>
      </c>
      <c r="O362" s="9">
        <f t="shared" si="23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_xlfn.TEXTSPLIT(R362,"/")</f>
        <v>theater</v>
      </c>
      <c r="T362" t="str">
        <v>plays</v>
      </c>
    </row>
    <row r="363" spans="1:20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20"/>
        <v>1.7356</v>
      </c>
      <c r="G363" t="s">
        <v>20</v>
      </c>
      <c r="H363">
        <v>88</v>
      </c>
      <c r="I363" s="5">
        <f t="shared" si="21"/>
        <v>108.48</v>
      </c>
      <c r="J363" t="s">
        <v>21</v>
      </c>
      <c r="K363" t="s">
        <v>22</v>
      </c>
      <c r="L363">
        <v>1507352400</v>
      </c>
      <c r="M363" s="9">
        <f t="shared" si="22"/>
        <v>43015.208333333328</v>
      </c>
      <c r="N363">
        <v>1509426000</v>
      </c>
      <c r="O363" s="9">
        <f t="shared" si="23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_xlfn.TEXTSPLIT(R363,"/")</f>
        <v>theater</v>
      </c>
      <c r="T363" t="str">
        <v>plays</v>
      </c>
    </row>
    <row r="364" spans="1:20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20"/>
        <v>3.7176</v>
      </c>
      <c r="G364" t="s">
        <v>20</v>
      </c>
      <c r="H364">
        <v>191</v>
      </c>
      <c r="I364" s="5">
        <f t="shared" si="21"/>
        <v>72.02</v>
      </c>
      <c r="J364" t="s">
        <v>21</v>
      </c>
      <c r="K364" t="s">
        <v>22</v>
      </c>
      <c r="L364">
        <v>1296108000</v>
      </c>
      <c r="M364" s="9">
        <f t="shared" si="22"/>
        <v>40570.25</v>
      </c>
      <c r="N364">
        <v>1299391200</v>
      </c>
      <c r="O364" s="9">
        <f t="shared" si="23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_xlfn.TEXTSPLIT(R364,"/")</f>
        <v>music</v>
      </c>
      <c r="T364" t="str">
        <v>rock</v>
      </c>
    </row>
    <row r="365" spans="1:20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20"/>
        <v>1.6019000000000001</v>
      </c>
      <c r="G365" t="s">
        <v>20</v>
      </c>
      <c r="H365">
        <v>139</v>
      </c>
      <c r="I365" s="5">
        <f t="shared" si="21"/>
        <v>59.93</v>
      </c>
      <c r="J365" t="s">
        <v>21</v>
      </c>
      <c r="K365" t="s">
        <v>22</v>
      </c>
      <c r="L365">
        <v>1324965600</v>
      </c>
      <c r="M365" s="9">
        <f t="shared" si="22"/>
        <v>40904.25</v>
      </c>
      <c r="N365">
        <v>1325052000</v>
      </c>
      <c r="O365" s="9">
        <f t="shared" si="23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_xlfn.TEXTSPLIT(R365,"/")</f>
        <v>music</v>
      </c>
      <c r="T365" t="str">
        <v>rock</v>
      </c>
    </row>
    <row r="366" spans="1:20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20"/>
        <v>16.1633</v>
      </c>
      <c r="G366" t="s">
        <v>20</v>
      </c>
      <c r="H366">
        <v>186</v>
      </c>
      <c r="I366" s="5">
        <f t="shared" si="21"/>
        <v>78.209999999999994</v>
      </c>
      <c r="J366" t="s">
        <v>21</v>
      </c>
      <c r="K366" t="s">
        <v>22</v>
      </c>
      <c r="L366">
        <v>1520229600</v>
      </c>
      <c r="M366" s="9">
        <f t="shared" si="22"/>
        <v>43164.25</v>
      </c>
      <c r="N366">
        <v>1522818000</v>
      </c>
      <c r="O366" s="9">
        <f t="shared" si="23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_xlfn.TEXTSPLIT(R366,"/")</f>
        <v>music</v>
      </c>
      <c r="T366" t="str">
        <v>indie rock</v>
      </c>
    </row>
    <row r="367" spans="1:20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20"/>
        <v>7.3343999999999996</v>
      </c>
      <c r="G367" t="s">
        <v>20</v>
      </c>
      <c r="H367">
        <v>112</v>
      </c>
      <c r="I367" s="5">
        <f t="shared" si="21"/>
        <v>104.78</v>
      </c>
      <c r="J367" t="s">
        <v>26</v>
      </c>
      <c r="K367" t="s">
        <v>27</v>
      </c>
      <c r="L367">
        <v>1482991200</v>
      </c>
      <c r="M367" s="9">
        <f t="shared" si="22"/>
        <v>42733.25</v>
      </c>
      <c r="N367">
        <v>1485324000</v>
      </c>
      <c r="O367" s="9">
        <f t="shared" si="23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_xlfn.TEXTSPLIT(R367,"/")</f>
        <v>theater</v>
      </c>
      <c r="T367" t="str">
        <v>plays</v>
      </c>
    </row>
    <row r="368" spans="1:20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20"/>
        <v>5.9211</v>
      </c>
      <c r="G368" t="s">
        <v>20</v>
      </c>
      <c r="H368">
        <v>101</v>
      </c>
      <c r="I368" s="5">
        <f t="shared" si="21"/>
        <v>105.52</v>
      </c>
      <c r="J368" t="s">
        <v>21</v>
      </c>
      <c r="K368" t="s">
        <v>22</v>
      </c>
      <c r="L368">
        <v>1294034400</v>
      </c>
      <c r="M368" s="9">
        <f t="shared" si="22"/>
        <v>40546.25</v>
      </c>
      <c r="N368">
        <v>1294120800</v>
      </c>
      <c r="O368" s="9">
        <f t="shared" si="23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_xlfn.TEXTSPLIT(R368,"/")</f>
        <v>theater</v>
      </c>
      <c r="T368" t="str">
        <v>plays</v>
      </c>
    </row>
    <row r="369" spans="1:20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20"/>
        <v>0.18890000000000001</v>
      </c>
      <c r="G369" t="s">
        <v>14</v>
      </c>
      <c r="H369">
        <v>75</v>
      </c>
      <c r="I369" s="5">
        <f t="shared" si="21"/>
        <v>24.93</v>
      </c>
      <c r="J369" t="s">
        <v>21</v>
      </c>
      <c r="K369" t="s">
        <v>22</v>
      </c>
      <c r="L369">
        <v>1413608400</v>
      </c>
      <c r="M369" s="9">
        <f t="shared" si="22"/>
        <v>41930.208333333336</v>
      </c>
      <c r="N369">
        <v>1415685600</v>
      </c>
      <c r="O369" s="9">
        <f t="shared" si="23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_xlfn.TEXTSPLIT(R369,"/")</f>
        <v>theater</v>
      </c>
      <c r="T369" t="str">
        <v>plays</v>
      </c>
    </row>
    <row r="370" spans="1:20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20"/>
        <v>2.7681</v>
      </c>
      <c r="G370" t="s">
        <v>20</v>
      </c>
      <c r="H370">
        <v>206</v>
      </c>
      <c r="I370" s="5">
        <f t="shared" si="21"/>
        <v>69.87</v>
      </c>
      <c r="J370" t="s">
        <v>40</v>
      </c>
      <c r="K370" t="s">
        <v>41</v>
      </c>
      <c r="L370">
        <v>1286946000</v>
      </c>
      <c r="M370" s="9">
        <f t="shared" si="22"/>
        <v>40464.208333333336</v>
      </c>
      <c r="N370">
        <v>1288933200</v>
      </c>
      <c r="O370" s="9">
        <f t="shared" si="23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_xlfn.TEXTSPLIT(R370,"/")</f>
        <v>film &amp; video</v>
      </c>
      <c r="T370" t="str">
        <v>documentary</v>
      </c>
    </row>
    <row r="371" spans="1:20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20"/>
        <v>2.7302</v>
      </c>
      <c r="G371" t="s">
        <v>20</v>
      </c>
      <c r="H371">
        <v>154</v>
      </c>
      <c r="I371" s="5">
        <f t="shared" si="21"/>
        <v>95.73</v>
      </c>
      <c r="J371" t="s">
        <v>21</v>
      </c>
      <c r="K371" t="s">
        <v>22</v>
      </c>
      <c r="L371">
        <v>1359871200</v>
      </c>
      <c r="M371" s="9">
        <f t="shared" si="22"/>
        <v>41308.25</v>
      </c>
      <c r="N371">
        <v>1363237200</v>
      </c>
      <c r="O371" s="9">
        <f t="shared" si="23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_xlfn.TEXTSPLIT(R371,"/")</f>
        <v>film &amp; video</v>
      </c>
      <c r="T371" t="str">
        <v>television</v>
      </c>
    </row>
    <row r="372" spans="1:20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20"/>
        <v>1.5935999999999999</v>
      </c>
      <c r="G372" t="s">
        <v>20</v>
      </c>
      <c r="H372">
        <v>5966</v>
      </c>
      <c r="I372" s="5">
        <f t="shared" si="21"/>
        <v>30</v>
      </c>
      <c r="J372" t="s">
        <v>21</v>
      </c>
      <c r="K372" t="s">
        <v>22</v>
      </c>
      <c r="L372">
        <v>1555304400</v>
      </c>
      <c r="M372" s="9">
        <f t="shared" si="22"/>
        <v>43570.208333333328</v>
      </c>
      <c r="N372">
        <v>1555822800</v>
      </c>
      <c r="O372" s="9">
        <f t="shared" si="23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_xlfn.TEXTSPLIT(R372,"/")</f>
        <v>theater</v>
      </c>
      <c r="T372" t="str">
        <v>plays</v>
      </c>
    </row>
    <row r="373" spans="1:20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20"/>
        <v>0.67869999999999997</v>
      </c>
      <c r="G373" t="s">
        <v>14</v>
      </c>
      <c r="H373">
        <v>2176</v>
      </c>
      <c r="I373" s="5">
        <f t="shared" si="21"/>
        <v>59.01</v>
      </c>
      <c r="J373" t="s">
        <v>21</v>
      </c>
      <c r="K373" t="s">
        <v>22</v>
      </c>
      <c r="L373">
        <v>1423375200</v>
      </c>
      <c r="M373" s="9">
        <f t="shared" si="22"/>
        <v>42043.25</v>
      </c>
      <c r="N373">
        <v>1427778000</v>
      </c>
      <c r="O373" s="9">
        <f t="shared" si="23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_xlfn.TEXTSPLIT(R373,"/")</f>
        <v>theater</v>
      </c>
      <c r="T373" t="str">
        <v>plays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20"/>
        <v>15.9156</v>
      </c>
      <c r="G374" t="s">
        <v>20</v>
      </c>
      <c r="H374">
        <v>169</v>
      </c>
      <c r="I374" s="5">
        <f t="shared" si="21"/>
        <v>84.76</v>
      </c>
      <c r="J374" t="s">
        <v>21</v>
      </c>
      <c r="K374" t="s">
        <v>22</v>
      </c>
      <c r="L374">
        <v>1420696800</v>
      </c>
      <c r="M374" s="9">
        <f t="shared" si="22"/>
        <v>42012.25</v>
      </c>
      <c r="N374">
        <v>1422424800</v>
      </c>
      <c r="O374" s="9">
        <f t="shared" si="23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_xlfn.TEXTSPLIT(R374,"/")</f>
        <v>film &amp; video</v>
      </c>
      <c r="T374" t="str">
        <v>documentary</v>
      </c>
    </row>
    <row r="375" spans="1:20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20"/>
        <v>7.3018000000000001</v>
      </c>
      <c r="G375" t="s">
        <v>20</v>
      </c>
      <c r="H375">
        <v>2106</v>
      </c>
      <c r="I375" s="5">
        <f t="shared" si="21"/>
        <v>78.010000000000005</v>
      </c>
      <c r="J375" t="s">
        <v>21</v>
      </c>
      <c r="K375" t="s">
        <v>22</v>
      </c>
      <c r="L375">
        <v>1502946000</v>
      </c>
      <c r="M375" s="9">
        <f t="shared" si="22"/>
        <v>42964.208333333328</v>
      </c>
      <c r="N375">
        <v>1503637200</v>
      </c>
      <c r="O375" s="9">
        <f t="shared" si="23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_xlfn.TEXTSPLIT(R375,"/")</f>
        <v>theater</v>
      </c>
      <c r="T375" t="str">
        <v>plays</v>
      </c>
    </row>
    <row r="376" spans="1:20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20"/>
        <v>0.13189999999999999</v>
      </c>
      <c r="G376" t="s">
        <v>14</v>
      </c>
      <c r="H376">
        <v>441</v>
      </c>
      <c r="I376" s="5">
        <f t="shared" si="21"/>
        <v>50.05</v>
      </c>
      <c r="J376" t="s">
        <v>21</v>
      </c>
      <c r="K376" t="s">
        <v>22</v>
      </c>
      <c r="L376">
        <v>1547186400</v>
      </c>
      <c r="M376" s="9">
        <f t="shared" si="22"/>
        <v>43476.25</v>
      </c>
      <c r="N376">
        <v>1547618400</v>
      </c>
      <c r="O376" s="9">
        <f t="shared" si="23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_xlfn.TEXTSPLIT(R376,"/")</f>
        <v>film &amp; video</v>
      </c>
      <c r="T376" t="str">
        <v>documentary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20"/>
        <v>0.54779999999999995</v>
      </c>
      <c r="G377" t="s">
        <v>14</v>
      </c>
      <c r="H377">
        <v>25</v>
      </c>
      <c r="I377" s="5">
        <f t="shared" si="21"/>
        <v>59.16</v>
      </c>
      <c r="J377" t="s">
        <v>21</v>
      </c>
      <c r="K377" t="s">
        <v>22</v>
      </c>
      <c r="L377">
        <v>1444971600</v>
      </c>
      <c r="M377" s="9">
        <f t="shared" si="22"/>
        <v>42293.208333333328</v>
      </c>
      <c r="N377">
        <v>1449900000</v>
      </c>
      <c r="O377" s="9">
        <f t="shared" si="23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_xlfn.TEXTSPLIT(R377,"/")</f>
        <v>music</v>
      </c>
      <c r="T377" t="str">
        <v>indie rock</v>
      </c>
    </row>
    <row r="378" spans="1:20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20"/>
        <v>3.6103000000000001</v>
      </c>
      <c r="G378" t="s">
        <v>20</v>
      </c>
      <c r="H378">
        <v>131</v>
      </c>
      <c r="I378" s="5">
        <f t="shared" si="21"/>
        <v>93.7</v>
      </c>
      <c r="J378" t="s">
        <v>21</v>
      </c>
      <c r="K378" t="s">
        <v>22</v>
      </c>
      <c r="L378">
        <v>1404622800</v>
      </c>
      <c r="M378" s="9">
        <f t="shared" si="22"/>
        <v>41826.208333333336</v>
      </c>
      <c r="N378">
        <v>1405141200</v>
      </c>
      <c r="O378" s="9">
        <f t="shared" si="23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_xlfn.TEXTSPLIT(R378,"/")</f>
        <v>music</v>
      </c>
      <c r="T378" t="str">
        <v>rock</v>
      </c>
    </row>
    <row r="379" spans="1:20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20"/>
        <v>0.1026</v>
      </c>
      <c r="G379" t="s">
        <v>14</v>
      </c>
      <c r="H379">
        <v>127</v>
      </c>
      <c r="I379" s="5">
        <f t="shared" si="21"/>
        <v>40.14</v>
      </c>
      <c r="J379" t="s">
        <v>21</v>
      </c>
      <c r="K379" t="s">
        <v>22</v>
      </c>
      <c r="L379">
        <v>1571720400</v>
      </c>
      <c r="M379" s="9">
        <f t="shared" si="22"/>
        <v>43760.208333333328</v>
      </c>
      <c r="N379">
        <v>1572933600</v>
      </c>
      <c r="O379" s="9">
        <f t="shared" si="23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_xlfn.TEXTSPLIT(R379,"/")</f>
        <v>theater</v>
      </c>
      <c r="T379" t="str">
        <v>plays</v>
      </c>
    </row>
    <row r="380" spans="1:20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20"/>
        <v>0.1396</v>
      </c>
      <c r="G380" t="s">
        <v>14</v>
      </c>
      <c r="H380">
        <v>355</v>
      </c>
      <c r="I380" s="5">
        <f t="shared" si="21"/>
        <v>70.09</v>
      </c>
      <c r="J380" t="s">
        <v>21</v>
      </c>
      <c r="K380" t="s">
        <v>22</v>
      </c>
      <c r="L380">
        <v>1526878800</v>
      </c>
      <c r="M380" s="9">
        <f t="shared" si="22"/>
        <v>43241.208333333328</v>
      </c>
      <c r="N380">
        <v>1530162000</v>
      </c>
      <c r="O380" s="9">
        <f t="shared" si="23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_xlfn.TEXTSPLIT(R380,"/")</f>
        <v>film &amp; video</v>
      </c>
      <c r="T380" t="str">
        <v>documentary</v>
      </c>
    </row>
    <row r="381" spans="1:20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20"/>
        <v>0.40439999999999998</v>
      </c>
      <c r="G381" t="s">
        <v>14</v>
      </c>
      <c r="H381">
        <v>44</v>
      </c>
      <c r="I381" s="5">
        <f t="shared" si="21"/>
        <v>66.180000000000007</v>
      </c>
      <c r="J381" t="s">
        <v>40</v>
      </c>
      <c r="K381" t="s">
        <v>41</v>
      </c>
      <c r="L381">
        <v>1319691600</v>
      </c>
      <c r="M381" s="9">
        <f t="shared" si="22"/>
        <v>40843.208333333336</v>
      </c>
      <c r="N381">
        <v>1320904800</v>
      </c>
      <c r="O381" s="9">
        <f t="shared" si="23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_xlfn.TEXTSPLIT(R381,"/")</f>
        <v>theater</v>
      </c>
      <c r="T381" t="str">
        <v>plays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20"/>
        <v>1.6032</v>
      </c>
      <c r="G382" t="s">
        <v>20</v>
      </c>
      <c r="H382">
        <v>84</v>
      </c>
      <c r="I382" s="5">
        <f t="shared" si="21"/>
        <v>47.71</v>
      </c>
      <c r="J382" t="s">
        <v>21</v>
      </c>
      <c r="K382" t="s">
        <v>22</v>
      </c>
      <c r="L382">
        <v>1371963600</v>
      </c>
      <c r="M382" s="9">
        <f t="shared" si="22"/>
        <v>41448.208333333336</v>
      </c>
      <c r="N382">
        <v>1372395600</v>
      </c>
      <c r="O382" s="9">
        <f t="shared" si="23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_xlfn.TEXTSPLIT(R382,"/")</f>
        <v>theater</v>
      </c>
      <c r="T382" t="str">
        <v>plays</v>
      </c>
    </row>
    <row r="383" spans="1:20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20"/>
        <v>1.8393999999999999</v>
      </c>
      <c r="G383" t="s">
        <v>20</v>
      </c>
      <c r="H383">
        <v>155</v>
      </c>
      <c r="I383" s="5">
        <f t="shared" si="21"/>
        <v>62.9</v>
      </c>
      <c r="J383" t="s">
        <v>21</v>
      </c>
      <c r="K383" t="s">
        <v>22</v>
      </c>
      <c r="L383">
        <v>1433739600</v>
      </c>
      <c r="M383" s="9">
        <f t="shared" si="22"/>
        <v>42163.208333333328</v>
      </c>
      <c r="N383">
        <v>1437714000</v>
      </c>
      <c r="O383" s="9">
        <f t="shared" si="23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_xlfn.TEXTSPLIT(R383,"/")</f>
        <v>theater</v>
      </c>
      <c r="T383" t="str">
        <v>plays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20"/>
        <v>0.63770000000000004</v>
      </c>
      <c r="G384" t="s">
        <v>14</v>
      </c>
      <c r="H384">
        <v>67</v>
      </c>
      <c r="I384" s="5">
        <f t="shared" si="21"/>
        <v>86.61</v>
      </c>
      <c r="J384" t="s">
        <v>21</v>
      </c>
      <c r="K384" t="s">
        <v>22</v>
      </c>
      <c r="L384">
        <v>1508130000</v>
      </c>
      <c r="M384" s="9">
        <f t="shared" si="22"/>
        <v>43024.208333333328</v>
      </c>
      <c r="N384">
        <v>1509771600</v>
      </c>
      <c r="O384" s="9">
        <f t="shared" si="23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_xlfn.TEXTSPLIT(R384,"/")</f>
        <v>photography</v>
      </c>
      <c r="T384" t="str">
        <v>photography books</v>
      </c>
    </row>
    <row r="385" spans="1:20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20"/>
        <v>2.2538</v>
      </c>
      <c r="G385" t="s">
        <v>20</v>
      </c>
      <c r="H385">
        <v>189</v>
      </c>
      <c r="I385" s="5">
        <f t="shared" si="21"/>
        <v>75.13</v>
      </c>
      <c r="J385" t="s">
        <v>21</v>
      </c>
      <c r="K385" t="s">
        <v>22</v>
      </c>
      <c r="L385">
        <v>1550037600</v>
      </c>
      <c r="M385" s="9">
        <f t="shared" si="22"/>
        <v>43509.25</v>
      </c>
      <c r="N385">
        <v>1550556000</v>
      </c>
      <c r="O385" s="9">
        <f t="shared" si="23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_xlfn.TEXTSPLIT(R385,"/")</f>
        <v>food</v>
      </c>
      <c r="T385" t="str">
        <v>food trucks</v>
      </c>
    </row>
    <row r="386" spans="1:20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20"/>
        <v>1.7201</v>
      </c>
      <c r="G386" t="s">
        <v>20</v>
      </c>
      <c r="H386">
        <v>4799</v>
      </c>
      <c r="I386" s="5">
        <f t="shared" si="21"/>
        <v>41</v>
      </c>
      <c r="J386" t="s">
        <v>21</v>
      </c>
      <c r="K386" t="s">
        <v>22</v>
      </c>
      <c r="L386">
        <v>1486706400</v>
      </c>
      <c r="M386" s="9">
        <f t="shared" si="22"/>
        <v>42776.25</v>
      </c>
      <c r="N386">
        <v>1489039200</v>
      </c>
      <c r="O386" s="9">
        <f t="shared" si="23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_xlfn.TEXTSPLIT(R386,"/")</f>
        <v>film &amp; video</v>
      </c>
      <c r="T386" t="str">
        <v>documentary</v>
      </c>
    </row>
    <row r="387" spans="1:20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ref="F387:F450" si="24">ROUND(E387/D387,4)</f>
        <v>1.4617</v>
      </c>
      <c r="G387" t="s">
        <v>20</v>
      </c>
      <c r="H387">
        <v>1137</v>
      </c>
      <c r="I387" s="5">
        <f t="shared" ref="I387:I450" si="25">IF(H387=0,"0",(ROUND(E387/H387,2)))</f>
        <v>50.01</v>
      </c>
      <c r="J387" t="s">
        <v>21</v>
      </c>
      <c r="K387" t="s">
        <v>22</v>
      </c>
      <c r="L387">
        <v>1553835600</v>
      </c>
      <c r="M387" s="9">
        <f t="shared" ref="M387:M450" si="26">(((L387/60)/60)/24)+DATE(1970,1,1)</f>
        <v>43553.208333333328</v>
      </c>
      <c r="N387">
        <v>1556600400</v>
      </c>
      <c r="O387" s="9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_xlfn.TEXTSPLIT(R387,"/")</f>
        <v>publishing</v>
      </c>
      <c r="T387" t="str">
        <v>nonfiction</v>
      </c>
    </row>
    <row r="388" spans="1:20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si="24"/>
        <v>0.76419999999999999</v>
      </c>
      <c r="G388" t="s">
        <v>14</v>
      </c>
      <c r="H388">
        <v>1068</v>
      </c>
      <c r="I388" s="5">
        <f t="shared" si="25"/>
        <v>96.96</v>
      </c>
      <c r="J388" t="s">
        <v>21</v>
      </c>
      <c r="K388" t="s">
        <v>22</v>
      </c>
      <c r="L388">
        <v>1277528400</v>
      </c>
      <c r="M388" s="9">
        <f t="shared" si="26"/>
        <v>40355.208333333336</v>
      </c>
      <c r="N388">
        <v>1278565200</v>
      </c>
      <c r="O388" s="9">
        <f t="shared" si="27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_xlfn.TEXTSPLIT(R388,"/")</f>
        <v>theater</v>
      </c>
      <c r="T388" t="str">
        <v>plays</v>
      </c>
    </row>
    <row r="389" spans="1:20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24"/>
        <v>0.3926</v>
      </c>
      <c r="G389" t="s">
        <v>14</v>
      </c>
      <c r="H389">
        <v>424</v>
      </c>
      <c r="I389" s="5">
        <f t="shared" si="25"/>
        <v>100.93</v>
      </c>
      <c r="J389" t="s">
        <v>21</v>
      </c>
      <c r="K389" t="s">
        <v>22</v>
      </c>
      <c r="L389">
        <v>1339477200</v>
      </c>
      <c r="M389" s="9">
        <f t="shared" si="26"/>
        <v>41072.208333333336</v>
      </c>
      <c r="N389">
        <v>1339909200</v>
      </c>
      <c r="O389" s="9">
        <f t="shared" si="27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_xlfn.TEXTSPLIT(R389,"/")</f>
        <v>technology</v>
      </c>
      <c r="T389" t="str">
        <v>wearables</v>
      </c>
    </row>
    <row r="390" spans="1:20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24"/>
        <v>0.11269999999999999</v>
      </c>
      <c r="G390" t="s">
        <v>74</v>
      </c>
      <c r="H390">
        <v>145</v>
      </c>
      <c r="I390" s="5">
        <f t="shared" si="25"/>
        <v>89.23</v>
      </c>
      <c r="J390" t="s">
        <v>98</v>
      </c>
      <c r="K390" t="s">
        <v>99</v>
      </c>
      <c r="L390">
        <v>1325656800</v>
      </c>
      <c r="M390" s="9">
        <f t="shared" si="26"/>
        <v>40912.25</v>
      </c>
      <c r="N390">
        <v>1325829600</v>
      </c>
      <c r="O390" s="9">
        <f t="shared" si="27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_xlfn.TEXTSPLIT(R390,"/")</f>
        <v>music</v>
      </c>
      <c r="T390" t="str">
        <v>indie rock</v>
      </c>
    </row>
    <row r="391" spans="1:20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24"/>
        <v>1.2211000000000001</v>
      </c>
      <c r="G391" t="s">
        <v>20</v>
      </c>
      <c r="H391">
        <v>1152</v>
      </c>
      <c r="I391" s="5">
        <f t="shared" si="25"/>
        <v>87.98</v>
      </c>
      <c r="J391" t="s">
        <v>21</v>
      </c>
      <c r="K391" t="s">
        <v>22</v>
      </c>
      <c r="L391">
        <v>1288242000</v>
      </c>
      <c r="M391" s="9">
        <f t="shared" si="26"/>
        <v>40479.208333333336</v>
      </c>
      <c r="N391">
        <v>1290578400</v>
      </c>
      <c r="O391" s="9">
        <f t="shared" si="27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_xlfn.TEXTSPLIT(R391,"/")</f>
        <v>theater</v>
      </c>
      <c r="T391" t="str">
        <v>plays</v>
      </c>
    </row>
    <row r="392" spans="1:20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24"/>
        <v>1.8653999999999999</v>
      </c>
      <c r="G392" t="s">
        <v>20</v>
      </c>
      <c r="H392">
        <v>50</v>
      </c>
      <c r="I392" s="5">
        <f t="shared" si="25"/>
        <v>89.54</v>
      </c>
      <c r="J392" t="s">
        <v>21</v>
      </c>
      <c r="K392" t="s">
        <v>22</v>
      </c>
      <c r="L392">
        <v>1379048400</v>
      </c>
      <c r="M392" s="9">
        <f t="shared" si="26"/>
        <v>41530.208333333336</v>
      </c>
      <c r="N392">
        <v>1380344400</v>
      </c>
      <c r="O392" s="9">
        <f t="shared" si="27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_xlfn.TEXTSPLIT(R392,"/")</f>
        <v>photography</v>
      </c>
      <c r="T392" t="str">
        <v>photography books</v>
      </c>
    </row>
    <row r="393" spans="1:20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24"/>
        <v>7.2700000000000001E-2</v>
      </c>
      <c r="G393" t="s">
        <v>14</v>
      </c>
      <c r="H393">
        <v>151</v>
      </c>
      <c r="I393" s="5">
        <f t="shared" si="25"/>
        <v>29.09</v>
      </c>
      <c r="J393" t="s">
        <v>21</v>
      </c>
      <c r="K393" t="s">
        <v>22</v>
      </c>
      <c r="L393">
        <v>1389679200</v>
      </c>
      <c r="M393" s="9">
        <f t="shared" si="26"/>
        <v>41653.25</v>
      </c>
      <c r="N393">
        <v>1389852000</v>
      </c>
      <c r="O393" s="9">
        <f t="shared" si="27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_xlfn.TEXTSPLIT(R393,"/")</f>
        <v>publishing</v>
      </c>
      <c r="T393" t="str">
        <v>nonfiction</v>
      </c>
    </row>
    <row r="394" spans="1:20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24"/>
        <v>0.65639999999999998</v>
      </c>
      <c r="G394" t="s">
        <v>14</v>
      </c>
      <c r="H394">
        <v>1608</v>
      </c>
      <c r="I394" s="5">
        <f t="shared" si="25"/>
        <v>42.01</v>
      </c>
      <c r="J394" t="s">
        <v>21</v>
      </c>
      <c r="K394" t="s">
        <v>22</v>
      </c>
      <c r="L394">
        <v>1294293600</v>
      </c>
      <c r="M394" s="9">
        <f t="shared" si="26"/>
        <v>40549.25</v>
      </c>
      <c r="N394">
        <v>1294466400</v>
      </c>
      <c r="O394" s="9">
        <f t="shared" si="27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_xlfn.TEXTSPLIT(R394,"/")</f>
        <v>technology</v>
      </c>
      <c r="T394" t="str">
        <v>wearables</v>
      </c>
    </row>
    <row r="395" spans="1:20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24"/>
        <v>2.2896000000000001</v>
      </c>
      <c r="G395" t="s">
        <v>20</v>
      </c>
      <c r="H395">
        <v>3059</v>
      </c>
      <c r="I395" s="5">
        <f t="shared" si="25"/>
        <v>47</v>
      </c>
      <c r="J395" t="s">
        <v>15</v>
      </c>
      <c r="K395" t="s">
        <v>16</v>
      </c>
      <c r="L395">
        <v>1500267600</v>
      </c>
      <c r="M395" s="9">
        <f t="shared" si="26"/>
        <v>42933.208333333328</v>
      </c>
      <c r="N395">
        <v>1500354000</v>
      </c>
      <c r="O395" s="9">
        <f t="shared" si="27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_xlfn.TEXTSPLIT(R395,"/")</f>
        <v>music</v>
      </c>
      <c r="T395" t="str">
        <v>jazz</v>
      </c>
    </row>
    <row r="396" spans="1:20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24"/>
        <v>4.6938000000000004</v>
      </c>
      <c r="G396" t="s">
        <v>20</v>
      </c>
      <c r="H396">
        <v>34</v>
      </c>
      <c r="I396" s="5">
        <f t="shared" si="25"/>
        <v>110.44</v>
      </c>
      <c r="J396" t="s">
        <v>21</v>
      </c>
      <c r="K396" t="s">
        <v>22</v>
      </c>
      <c r="L396">
        <v>1375074000</v>
      </c>
      <c r="M396" s="9">
        <f t="shared" si="26"/>
        <v>41484.208333333336</v>
      </c>
      <c r="N396">
        <v>1375938000</v>
      </c>
      <c r="O396" s="9">
        <f t="shared" si="27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_xlfn.TEXTSPLIT(R396,"/")</f>
        <v>film &amp; video</v>
      </c>
      <c r="T396" t="str">
        <v>documentary</v>
      </c>
    </row>
    <row r="397" spans="1:20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24"/>
        <v>1.3010999999999999</v>
      </c>
      <c r="G397" t="s">
        <v>20</v>
      </c>
      <c r="H397">
        <v>220</v>
      </c>
      <c r="I397" s="5">
        <f t="shared" si="25"/>
        <v>41.99</v>
      </c>
      <c r="J397" t="s">
        <v>21</v>
      </c>
      <c r="K397" t="s">
        <v>22</v>
      </c>
      <c r="L397">
        <v>1323324000</v>
      </c>
      <c r="M397" s="9">
        <f t="shared" si="26"/>
        <v>40885.25</v>
      </c>
      <c r="N397">
        <v>1323410400</v>
      </c>
      <c r="O397" s="9">
        <f t="shared" si="27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_xlfn.TEXTSPLIT(R397,"/")</f>
        <v>theater</v>
      </c>
      <c r="T397" t="str">
        <v>plays</v>
      </c>
    </row>
    <row r="398" spans="1:20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24"/>
        <v>1.6705000000000001</v>
      </c>
      <c r="G398" t="s">
        <v>20</v>
      </c>
      <c r="H398">
        <v>1604</v>
      </c>
      <c r="I398" s="5">
        <f t="shared" si="25"/>
        <v>48.01</v>
      </c>
      <c r="J398" t="s">
        <v>26</v>
      </c>
      <c r="K398" t="s">
        <v>27</v>
      </c>
      <c r="L398">
        <v>1538715600</v>
      </c>
      <c r="M398" s="9">
        <f t="shared" si="26"/>
        <v>43378.208333333328</v>
      </c>
      <c r="N398">
        <v>1539406800</v>
      </c>
      <c r="O398" s="9">
        <f t="shared" si="27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_xlfn.TEXTSPLIT(R398,"/")</f>
        <v>film &amp; video</v>
      </c>
      <c r="T398" t="str">
        <v>drama</v>
      </c>
    </row>
    <row r="399" spans="1:20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24"/>
        <v>1.7385999999999999</v>
      </c>
      <c r="G399" t="s">
        <v>20</v>
      </c>
      <c r="H399">
        <v>454</v>
      </c>
      <c r="I399" s="5">
        <f t="shared" si="25"/>
        <v>31.02</v>
      </c>
      <c r="J399" t="s">
        <v>21</v>
      </c>
      <c r="K399" t="s">
        <v>22</v>
      </c>
      <c r="L399">
        <v>1369285200</v>
      </c>
      <c r="M399" s="9">
        <f t="shared" si="26"/>
        <v>41417.208333333336</v>
      </c>
      <c r="N399">
        <v>1369803600</v>
      </c>
      <c r="O399" s="9">
        <f t="shared" si="27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_xlfn.TEXTSPLIT(R399,"/")</f>
        <v>music</v>
      </c>
      <c r="T399" t="str">
        <v>rock</v>
      </c>
    </row>
    <row r="400" spans="1:20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24"/>
        <v>7.1776</v>
      </c>
      <c r="G400" t="s">
        <v>20</v>
      </c>
      <c r="H400">
        <v>123</v>
      </c>
      <c r="I400" s="5">
        <f t="shared" si="25"/>
        <v>99.2</v>
      </c>
      <c r="J400" t="s">
        <v>107</v>
      </c>
      <c r="K400" t="s">
        <v>108</v>
      </c>
      <c r="L400">
        <v>1525755600</v>
      </c>
      <c r="M400" s="9">
        <f t="shared" si="26"/>
        <v>43228.208333333328</v>
      </c>
      <c r="N400">
        <v>1525928400</v>
      </c>
      <c r="O400" s="9">
        <f t="shared" si="27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_xlfn.TEXTSPLIT(R400,"/")</f>
        <v>film &amp; video</v>
      </c>
      <c r="T400" t="str">
        <v>animation</v>
      </c>
    </row>
    <row r="401" spans="1:20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24"/>
        <v>0.63849999999999996</v>
      </c>
      <c r="G401" t="s">
        <v>14</v>
      </c>
      <c r="H401">
        <v>941</v>
      </c>
      <c r="I401" s="5">
        <f t="shared" si="25"/>
        <v>66.02</v>
      </c>
      <c r="J401" t="s">
        <v>21</v>
      </c>
      <c r="K401" t="s">
        <v>22</v>
      </c>
      <c r="L401">
        <v>1296626400</v>
      </c>
      <c r="M401" s="9">
        <f t="shared" si="26"/>
        <v>40576.25</v>
      </c>
      <c r="N401">
        <v>1297231200</v>
      </c>
      <c r="O401" s="9">
        <f t="shared" si="27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_xlfn.TEXTSPLIT(R401,"/")</f>
        <v>music</v>
      </c>
      <c r="T401" t="str">
        <v>indie rock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24"/>
        <v>0.02</v>
      </c>
      <c r="G402" t="s">
        <v>14</v>
      </c>
      <c r="H402">
        <v>1</v>
      </c>
      <c r="I402" s="5">
        <f t="shared" si="25"/>
        <v>2</v>
      </c>
      <c r="J402" t="s">
        <v>21</v>
      </c>
      <c r="K402" t="s">
        <v>22</v>
      </c>
      <c r="L402">
        <v>1376629200</v>
      </c>
      <c r="M402" s="9">
        <f t="shared" si="26"/>
        <v>41502.208333333336</v>
      </c>
      <c r="N402">
        <v>1378530000</v>
      </c>
      <c r="O402" s="9">
        <f t="shared" si="27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_xlfn.TEXTSPLIT(R402,"/")</f>
        <v>photography</v>
      </c>
      <c r="T402" t="str">
        <v>photography books</v>
      </c>
    </row>
    <row r="403" spans="1:20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24"/>
        <v>15.302199999999999</v>
      </c>
      <c r="G403" t="s">
        <v>20</v>
      </c>
      <c r="H403">
        <v>299</v>
      </c>
      <c r="I403" s="5">
        <f t="shared" si="25"/>
        <v>46.06</v>
      </c>
      <c r="J403" t="s">
        <v>21</v>
      </c>
      <c r="K403" t="s">
        <v>22</v>
      </c>
      <c r="L403">
        <v>1572152400</v>
      </c>
      <c r="M403" s="9">
        <f t="shared" si="26"/>
        <v>43765.208333333328</v>
      </c>
      <c r="N403">
        <v>1572152400</v>
      </c>
      <c r="O403" s="9">
        <f t="shared" si="27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_xlfn.TEXTSPLIT(R403,"/")</f>
        <v>theater</v>
      </c>
      <c r="T403" t="str">
        <v>plays</v>
      </c>
    </row>
    <row r="404" spans="1:20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24"/>
        <v>0.40360000000000001</v>
      </c>
      <c r="G404" t="s">
        <v>14</v>
      </c>
      <c r="H404">
        <v>40</v>
      </c>
      <c r="I404" s="5">
        <f t="shared" si="25"/>
        <v>73.650000000000006</v>
      </c>
      <c r="J404" t="s">
        <v>21</v>
      </c>
      <c r="K404" t="s">
        <v>22</v>
      </c>
      <c r="L404">
        <v>1325829600</v>
      </c>
      <c r="M404" s="9">
        <f t="shared" si="26"/>
        <v>40914.25</v>
      </c>
      <c r="N404">
        <v>1329890400</v>
      </c>
      <c r="O404" s="9">
        <f t="shared" si="27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_xlfn.TEXTSPLIT(R404,"/")</f>
        <v>film &amp; video</v>
      </c>
      <c r="T404" t="str">
        <v>shorts</v>
      </c>
    </row>
    <row r="405" spans="1:20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24"/>
        <v>0.86219999999999997</v>
      </c>
      <c r="G405" t="s">
        <v>14</v>
      </c>
      <c r="H405">
        <v>3015</v>
      </c>
      <c r="I405" s="5">
        <f t="shared" si="25"/>
        <v>55.99</v>
      </c>
      <c r="J405" t="s">
        <v>15</v>
      </c>
      <c r="K405" t="s">
        <v>16</v>
      </c>
      <c r="L405">
        <v>1273640400</v>
      </c>
      <c r="M405" s="9">
        <f t="shared" si="26"/>
        <v>40310.208333333336</v>
      </c>
      <c r="N405">
        <v>1276750800</v>
      </c>
      <c r="O405" s="9">
        <f t="shared" si="27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_xlfn.TEXTSPLIT(R405,"/")</f>
        <v>theater</v>
      </c>
      <c r="T405" t="str">
        <v>plays</v>
      </c>
    </row>
    <row r="406" spans="1:20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24"/>
        <v>3.1558000000000002</v>
      </c>
      <c r="G406" t="s">
        <v>20</v>
      </c>
      <c r="H406">
        <v>2237</v>
      </c>
      <c r="I406" s="5">
        <f t="shared" si="25"/>
        <v>68.989999999999995</v>
      </c>
      <c r="J406" t="s">
        <v>21</v>
      </c>
      <c r="K406" t="s">
        <v>22</v>
      </c>
      <c r="L406">
        <v>1510639200</v>
      </c>
      <c r="M406" s="9">
        <f t="shared" si="26"/>
        <v>43053.25</v>
      </c>
      <c r="N406">
        <v>1510898400</v>
      </c>
      <c r="O406" s="9">
        <f t="shared" si="27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_xlfn.TEXTSPLIT(R406,"/")</f>
        <v>theater</v>
      </c>
      <c r="T406" t="str">
        <v>plays</v>
      </c>
    </row>
    <row r="407" spans="1:20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24"/>
        <v>0.8962</v>
      </c>
      <c r="G407" t="s">
        <v>14</v>
      </c>
      <c r="H407">
        <v>435</v>
      </c>
      <c r="I407" s="5">
        <f t="shared" si="25"/>
        <v>60.98</v>
      </c>
      <c r="J407" t="s">
        <v>21</v>
      </c>
      <c r="K407" t="s">
        <v>22</v>
      </c>
      <c r="L407">
        <v>1528088400</v>
      </c>
      <c r="M407" s="9">
        <f t="shared" si="26"/>
        <v>43255.208333333328</v>
      </c>
      <c r="N407">
        <v>1532408400</v>
      </c>
      <c r="O407" s="9">
        <f t="shared" si="27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_xlfn.TEXTSPLIT(R407,"/")</f>
        <v>theater</v>
      </c>
      <c r="T407" t="str">
        <v>plays</v>
      </c>
    </row>
    <row r="408" spans="1:20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24"/>
        <v>1.8214999999999999</v>
      </c>
      <c r="G408" t="s">
        <v>20</v>
      </c>
      <c r="H408">
        <v>645</v>
      </c>
      <c r="I408" s="5">
        <f t="shared" si="25"/>
        <v>110.98</v>
      </c>
      <c r="J408" t="s">
        <v>21</v>
      </c>
      <c r="K408" t="s">
        <v>22</v>
      </c>
      <c r="L408">
        <v>1359525600</v>
      </c>
      <c r="M408" s="9">
        <f t="shared" si="26"/>
        <v>41304.25</v>
      </c>
      <c r="N408">
        <v>1360562400</v>
      </c>
      <c r="O408" s="9">
        <f t="shared" si="27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_xlfn.TEXTSPLIT(R408,"/")</f>
        <v>film &amp; video</v>
      </c>
      <c r="T408" t="str">
        <v>documentary</v>
      </c>
    </row>
    <row r="409" spans="1:20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24"/>
        <v>3.5588000000000002</v>
      </c>
      <c r="G409" t="s">
        <v>20</v>
      </c>
      <c r="H409">
        <v>484</v>
      </c>
      <c r="I409" s="5">
        <f t="shared" si="25"/>
        <v>25</v>
      </c>
      <c r="J409" t="s">
        <v>36</v>
      </c>
      <c r="K409" t="s">
        <v>37</v>
      </c>
      <c r="L409">
        <v>1570942800</v>
      </c>
      <c r="M409" s="9">
        <f t="shared" si="26"/>
        <v>43751.208333333328</v>
      </c>
      <c r="N409">
        <v>1571547600</v>
      </c>
      <c r="O409" s="9">
        <f t="shared" si="27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_xlfn.TEXTSPLIT(R409,"/")</f>
        <v>theater</v>
      </c>
      <c r="T409" t="str">
        <v>plays</v>
      </c>
    </row>
    <row r="410" spans="1:20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24"/>
        <v>1.3184</v>
      </c>
      <c r="G410" t="s">
        <v>20</v>
      </c>
      <c r="H410">
        <v>154</v>
      </c>
      <c r="I410" s="5">
        <f t="shared" si="25"/>
        <v>78.760000000000005</v>
      </c>
      <c r="J410" t="s">
        <v>15</v>
      </c>
      <c r="K410" t="s">
        <v>16</v>
      </c>
      <c r="L410">
        <v>1466398800</v>
      </c>
      <c r="M410" s="9">
        <f t="shared" si="26"/>
        <v>42541.208333333328</v>
      </c>
      <c r="N410">
        <v>1468126800</v>
      </c>
      <c r="O410" s="9">
        <f t="shared" si="27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_xlfn.TEXTSPLIT(R410,"/")</f>
        <v>film &amp; video</v>
      </c>
      <c r="T410" t="str">
        <v>documentary</v>
      </c>
    </row>
    <row r="411" spans="1:20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24"/>
        <v>0.4632</v>
      </c>
      <c r="G411" t="s">
        <v>14</v>
      </c>
      <c r="H411">
        <v>714</v>
      </c>
      <c r="I411" s="5">
        <f t="shared" si="25"/>
        <v>87.96</v>
      </c>
      <c r="J411" t="s">
        <v>21</v>
      </c>
      <c r="K411" t="s">
        <v>22</v>
      </c>
      <c r="L411">
        <v>1492491600</v>
      </c>
      <c r="M411" s="9">
        <f t="shared" si="26"/>
        <v>42843.208333333328</v>
      </c>
      <c r="N411">
        <v>1492837200</v>
      </c>
      <c r="O411" s="9">
        <f t="shared" si="27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_xlfn.TEXTSPLIT(R411,"/")</f>
        <v>music</v>
      </c>
      <c r="T411" t="str">
        <v>rock</v>
      </c>
    </row>
    <row r="412" spans="1:20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24"/>
        <v>0.36130000000000001</v>
      </c>
      <c r="G412" t="s">
        <v>47</v>
      </c>
      <c r="H412">
        <v>1111</v>
      </c>
      <c r="I412" s="5">
        <f t="shared" si="25"/>
        <v>49.99</v>
      </c>
      <c r="J412" t="s">
        <v>21</v>
      </c>
      <c r="K412" t="s">
        <v>22</v>
      </c>
      <c r="L412">
        <v>1430197200</v>
      </c>
      <c r="M412" s="9">
        <f t="shared" si="26"/>
        <v>42122.208333333328</v>
      </c>
      <c r="N412">
        <v>1430197200</v>
      </c>
      <c r="O412" s="9">
        <f t="shared" si="27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_xlfn.TEXTSPLIT(R412,"/")</f>
        <v>games</v>
      </c>
      <c r="T412" t="str">
        <v>mobile games</v>
      </c>
    </row>
    <row r="413" spans="1:20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24"/>
        <v>1.0463</v>
      </c>
      <c r="G413" t="s">
        <v>20</v>
      </c>
      <c r="H413">
        <v>82</v>
      </c>
      <c r="I413" s="5">
        <f t="shared" si="25"/>
        <v>99.52</v>
      </c>
      <c r="J413" t="s">
        <v>21</v>
      </c>
      <c r="K413" t="s">
        <v>22</v>
      </c>
      <c r="L413">
        <v>1496034000</v>
      </c>
      <c r="M413" s="9">
        <f t="shared" si="26"/>
        <v>42884.208333333328</v>
      </c>
      <c r="N413">
        <v>1496206800</v>
      </c>
      <c r="O413" s="9">
        <f t="shared" si="27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_xlfn.TEXTSPLIT(R413,"/")</f>
        <v>theater</v>
      </c>
      <c r="T413" t="str">
        <v>plays</v>
      </c>
    </row>
    <row r="414" spans="1:20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24"/>
        <v>6.6886000000000001</v>
      </c>
      <c r="G414" t="s">
        <v>20</v>
      </c>
      <c r="H414">
        <v>134</v>
      </c>
      <c r="I414" s="5">
        <f t="shared" si="25"/>
        <v>104.82</v>
      </c>
      <c r="J414" t="s">
        <v>21</v>
      </c>
      <c r="K414" t="s">
        <v>22</v>
      </c>
      <c r="L414">
        <v>1388728800</v>
      </c>
      <c r="M414" s="9">
        <f t="shared" si="26"/>
        <v>41642.25</v>
      </c>
      <c r="N414">
        <v>1389592800</v>
      </c>
      <c r="O414" s="9">
        <f t="shared" si="27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_xlfn.TEXTSPLIT(R414,"/")</f>
        <v>publishing</v>
      </c>
      <c r="T414" t="str">
        <v>fiction</v>
      </c>
    </row>
    <row r="415" spans="1:20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24"/>
        <v>0.62070000000000003</v>
      </c>
      <c r="G415" t="s">
        <v>47</v>
      </c>
      <c r="H415">
        <v>1089</v>
      </c>
      <c r="I415" s="5">
        <f t="shared" si="25"/>
        <v>108.01</v>
      </c>
      <c r="J415" t="s">
        <v>21</v>
      </c>
      <c r="K415" t="s">
        <v>22</v>
      </c>
      <c r="L415">
        <v>1543298400</v>
      </c>
      <c r="M415" s="9">
        <f t="shared" si="26"/>
        <v>43431.25</v>
      </c>
      <c r="N415">
        <v>1545631200</v>
      </c>
      <c r="O415" s="9">
        <f t="shared" si="27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_xlfn.TEXTSPLIT(R415,"/")</f>
        <v>film &amp; video</v>
      </c>
      <c r="T415" t="str">
        <v>animation</v>
      </c>
    </row>
    <row r="416" spans="1:20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24"/>
        <v>0.84699999999999998</v>
      </c>
      <c r="G416" t="s">
        <v>14</v>
      </c>
      <c r="H416">
        <v>5497</v>
      </c>
      <c r="I416" s="5">
        <f t="shared" si="25"/>
        <v>29</v>
      </c>
      <c r="J416" t="s">
        <v>21</v>
      </c>
      <c r="K416" t="s">
        <v>22</v>
      </c>
      <c r="L416">
        <v>1271739600</v>
      </c>
      <c r="M416" s="9">
        <f t="shared" si="26"/>
        <v>40288.208333333336</v>
      </c>
      <c r="N416">
        <v>1272430800</v>
      </c>
      <c r="O416" s="9">
        <f t="shared" si="27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_xlfn.TEXTSPLIT(R416,"/")</f>
        <v>food</v>
      </c>
      <c r="T416" t="str">
        <v>food trucks</v>
      </c>
    </row>
    <row r="417" spans="1:20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24"/>
        <v>0.1106</v>
      </c>
      <c r="G417" t="s">
        <v>14</v>
      </c>
      <c r="H417">
        <v>418</v>
      </c>
      <c r="I417" s="5">
        <f t="shared" si="25"/>
        <v>30.03</v>
      </c>
      <c r="J417" t="s">
        <v>21</v>
      </c>
      <c r="K417" t="s">
        <v>22</v>
      </c>
      <c r="L417">
        <v>1326434400</v>
      </c>
      <c r="M417" s="9">
        <f t="shared" si="26"/>
        <v>40921.25</v>
      </c>
      <c r="N417">
        <v>1327903200</v>
      </c>
      <c r="O417" s="9">
        <f t="shared" si="27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_xlfn.TEXTSPLIT(R417,"/")</f>
        <v>theater</v>
      </c>
      <c r="T417" t="str">
        <v>plays</v>
      </c>
    </row>
    <row r="418" spans="1:20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24"/>
        <v>0.43840000000000001</v>
      </c>
      <c r="G418" t="s">
        <v>14</v>
      </c>
      <c r="H418">
        <v>1439</v>
      </c>
      <c r="I418" s="5">
        <f t="shared" si="25"/>
        <v>41.01</v>
      </c>
      <c r="J418" t="s">
        <v>21</v>
      </c>
      <c r="K418" t="s">
        <v>22</v>
      </c>
      <c r="L418">
        <v>1295244000</v>
      </c>
      <c r="M418" s="9">
        <f t="shared" si="26"/>
        <v>40560.25</v>
      </c>
      <c r="N418">
        <v>1296021600</v>
      </c>
      <c r="O418" s="9">
        <f t="shared" si="27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_xlfn.TEXTSPLIT(R418,"/")</f>
        <v>film &amp; video</v>
      </c>
      <c r="T418" t="str">
        <v>documentary</v>
      </c>
    </row>
    <row r="419" spans="1:20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24"/>
        <v>0.55469999999999997</v>
      </c>
      <c r="G419" t="s">
        <v>14</v>
      </c>
      <c r="H419">
        <v>15</v>
      </c>
      <c r="I419" s="5">
        <f t="shared" si="25"/>
        <v>62.87</v>
      </c>
      <c r="J419" t="s">
        <v>21</v>
      </c>
      <c r="K419" t="s">
        <v>22</v>
      </c>
      <c r="L419">
        <v>1541221200</v>
      </c>
      <c r="M419" s="9">
        <f t="shared" si="26"/>
        <v>43407.208333333328</v>
      </c>
      <c r="N419">
        <v>1543298400</v>
      </c>
      <c r="O419" s="9">
        <f t="shared" si="27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_xlfn.TEXTSPLIT(R419,"/")</f>
        <v>theater</v>
      </c>
      <c r="T419" t="str">
        <v>plays</v>
      </c>
    </row>
    <row r="420" spans="1:20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24"/>
        <v>0.57399999999999995</v>
      </c>
      <c r="G420" t="s">
        <v>14</v>
      </c>
      <c r="H420">
        <v>1999</v>
      </c>
      <c r="I420" s="5">
        <f t="shared" si="25"/>
        <v>47.01</v>
      </c>
      <c r="J420" t="s">
        <v>15</v>
      </c>
      <c r="K420" t="s">
        <v>16</v>
      </c>
      <c r="L420">
        <v>1336280400</v>
      </c>
      <c r="M420" s="9">
        <f t="shared" si="26"/>
        <v>41035.208333333336</v>
      </c>
      <c r="N420">
        <v>1336366800</v>
      </c>
      <c r="O420" s="9">
        <f t="shared" si="27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_xlfn.TEXTSPLIT(R420,"/")</f>
        <v>film &amp; video</v>
      </c>
      <c r="T420" t="str">
        <v>documentary</v>
      </c>
    </row>
    <row r="421" spans="1:20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24"/>
        <v>1.2343</v>
      </c>
      <c r="G421" t="s">
        <v>20</v>
      </c>
      <c r="H421">
        <v>5203</v>
      </c>
      <c r="I421" s="5">
        <f t="shared" si="25"/>
        <v>27</v>
      </c>
      <c r="J421" t="s">
        <v>21</v>
      </c>
      <c r="K421" t="s">
        <v>22</v>
      </c>
      <c r="L421">
        <v>1324533600</v>
      </c>
      <c r="M421" s="9">
        <f t="shared" si="26"/>
        <v>40899.25</v>
      </c>
      <c r="N421">
        <v>1325052000</v>
      </c>
      <c r="O421" s="9">
        <f t="shared" si="27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_xlfn.TEXTSPLIT(R421,"/")</f>
        <v>technology</v>
      </c>
      <c r="T421" t="str">
        <v>web</v>
      </c>
    </row>
    <row r="422" spans="1:20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24"/>
        <v>1.2846</v>
      </c>
      <c r="G422" t="s">
        <v>20</v>
      </c>
      <c r="H422">
        <v>94</v>
      </c>
      <c r="I422" s="5">
        <f t="shared" si="25"/>
        <v>68.33</v>
      </c>
      <c r="J422" t="s">
        <v>21</v>
      </c>
      <c r="K422" t="s">
        <v>22</v>
      </c>
      <c r="L422">
        <v>1498366800</v>
      </c>
      <c r="M422" s="9">
        <f t="shared" si="26"/>
        <v>42911.208333333328</v>
      </c>
      <c r="N422">
        <v>1499576400</v>
      </c>
      <c r="O422" s="9">
        <f t="shared" si="27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_xlfn.TEXTSPLIT(R422,"/")</f>
        <v>theater</v>
      </c>
      <c r="T422" t="str">
        <v>plays</v>
      </c>
    </row>
    <row r="423" spans="1:20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24"/>
        <v>0.63990000000000002</v>
      </c>
      <c r="G423" t="s">
        <v>14</v>
      </c>
      <c r="H423">
        <v>118</v>
      </c>
      <c r="I423" s="5">
        <f t="shared" si="25"/>
        <v>50.97</v>
      </c>
      <c r="J423" t="s">
        <v>21</v>
      </c>
      <c r="K423" t="s">
        <v>22</v>
      </c>
      <c r="L423">
        <v>1498712400</v>
      </c>
      <c r="M423" s="9">
        <f t="shared" si="26"/>
        <v>42915.208333333328</v>
      </c>
      <c r="N423">
        <v>1501304400</v>
      </c>
      <c r="O423" s="9">
        <f t="shared" si="27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_xlfn.TEXTSPLIT(R423,"/")</f>
        <v>technology</v>
      </c>
      <c r="T423" t="str">
        <v>wearables</v>
      </c>
    </row>
    <row r="424" spans="1:20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24"/>
        <v>1.2729999999999999</v>
      </c>
      <c r="G424" t="s">
        <v>20</v>
      </c>
      <c r="H424">
        <v>205</v>
      </c>
      <c r="I424" s="5">
        <f t="shared" si="25"/>
        <v>54.02</v>
      </c>
      <c r="J424" t="s">
        <v>21</v>
      </c>
      <c r="K424" t="s">
        <v>22</v>
      </c>
      <c r="L424">
        <v>1271480400</v>
      </c>
      <c r="M424" s="9">
        <f t="shared" si="26"/>
        <v>40285.208333333336</v>
      </c>
      <c r="N424">
        <v>1273208400</v>
      </c>
      <c r="O424" s="9">
        <f t="shared" si="27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_xlfn.TEXTSPLIT(R424,"/")</f>
        <v>theater</v>
      </c>
      <c r="T424" t="str">
        <v>plays</v>
      </c>
    </row>
    <row r="425" spans="1:20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24"/>
        <v>0.10639999999999999</v>
      </c>
      <c r="G425" t="s">
        <v>14</v>
      </c>
      <c r="H425">
        <v>162</v>
      </c>
      <c r="I425" s="5">
        <f t="shared" si="25"/>
        <v>97.06</v>
      </c>
      <c r="J425" t="s">
        <v>21</v>
      </c>
      <c r="K425" t="s">
        <v>22</v>
      </c>
      <c r="L425">
        <v>1316667600</v>
      </c>
      <c r="M425" s="9">
        <f t="shared" si="26"/>
        <v>40808.208333333336</v>
      </c>
      <c r="N425">
        <v>1316840400</v>
      </c>
      <c r="O425" s="9">
        <f t="shared" si="27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_xlfn.TEXTSPLIT(R425,"/")</f>
        <v>food</v>
      </c>
      <c r="T425" t="str">
        <v>food trucks</v>
      </c>
    </row>
    <row r="426" spans="1:20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24"/>
        <v>0.4047</v>
      </c>
      <c r="G426" t="s">
        <v>14</v>
      </c>
      <c r="H426">
        <v>83</v>
      </c>
      <c r="I426" s="5">
        <f t="shared" si="25"/>
        <v>24.87</v>
      </c>
      <c r="J426" t="s">
        <v>21</v>
      </c>
      <c r="K426" t="s">
        <v>22</v>
      </c>
      <c r="L426">
        <v>1524027600</v>
      </c>
      <c r="M426" s="9">
        <f t="shared" si="26"/>
        <v>43208.208333333328</v>
      </c>
      <c r="N426">
        <v>1524546000</v>
      </c>
      <c r="O426" s="9">
        <f t="shared" si="27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_xlfn.TEXTSPLIT(R426,"/")</f>
        <v>music</v>
      </c>
      <c r="T426" t="str">
        <v>indie rock</v>
      </c>
    </row>
    <row r="427" spans="1:20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24"/>
        <v>2.8767</v>
      </c>
      <c r="G427" t="s">
        <v>20</v>
      </c>
      <c r="H427">
        <v>92</v>
      </c>
      <c r="I427" s="5">
        <f t="shared" si="25"/>
        <v>84.42</v>
      </c>
      <c r="J427" t="s">
        <v>21</v>
      </c>
      <c r="K427" t="s">
        <v>22</v>
      </c>
      <c r="L427">
        <v>1438059600</v>
      </c>
      <c r="M427" s="9">
        <f t="shared" si="26"/>
        <v>42213.208333333328</v>
      </c>
      <c r="N427">
        <v>1438578000</v>
      </c>
      <c r="O427" s="9">
        <f t="shared" si="27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_xlfn.TEXTSPLIT(R427,"/")</f>
        <v>photography</v>
      </c>
      <c r="T427" t="str">
        <v>photography books</v>
      </c>
    </row>
    <row r="428" spans="1:20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24"/>
        <v>5.7294</v>
      </c>
      <c r="G428" t="s">
        <v>20</v>
      </c>
      <c r="H428">
        <v>219</v>
      </c>
      <c r="I428" s="5">
        <f t="shared" si="25"/>
        <v>47.09</v>
      </c>
      <c r="J428" t="s">
        <v>21</v>
      </c>
      <c r="K428" t="s">
        <v>22</v>
      </c>
      <c r="L428">
        <v>1361944800</v>
      </c>
      <c r="M428" s="9">
        <f t="shared" si="26"/>
        <v>41332.25</v>
      </c>
      <c r="N428">
        <v>1362549600</v>
      </c>
      <c r="O428" s="9">
        <f t="shared" si="27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_xlfn.TEXTSPLIT(R428,"/")</f>
        <v>theater</v>
      </c>
      <c r="T428" t="str">
        <v>plays</v>
      </c>
    </row>
    <row r="429" spans="1:20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24"/>
        <v>1.129</v>
      </c>
      <c r="G429" t="s">
        <v>20</v>
      </c>
      <c r="H429">
        <v>2526</v>
      </c>
      <c r="I429" s="5">
        <f t="shared" si="25"/>
        <v>78</v>
      </c>
      <c r="J429" t="s">
        <v>21</v>
      </c>
      <c r="K429" t="s">
        <v>22</v>
      </c>
      <c r="L429">
        <v>1410584400</v>
      </c>
      <c r="M429" s="9">
        <f t="shared" si="26"/>
        <v>41895.208333333336</v>
      </c>
      <c r="N429">
        <v>1413349200</v>
      </c>
      <c r="O429" s="9">
        <f t="shared" si="27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_xlfn.TEXTSPLIT(R429,"/")</f>
        <v>theater</v>
      </c>
      <c r="T429" t="str">
        <v>plays</v>
      </c>
    </row>
    <row r="430" spans="1:20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24"/>
        <v>0.46389999999999998</v>
      </c>
      <c r="G430" t="s">
        <v>14</v>
      </c>
      <c r="H430">
        <v>747</v>
      </c>
      <c r="I430" s="5">
        <f t="shared" si="25"/>
        <v>62.97</v>
      </c>
      <c r="J430" t="s">
        <v>21</v>
      </c>
      <c r="K430" t="s">
        <v>22</v>
      </c>
      <c r="L430">
        <v>1297404000</v>
      </c>
      <c r="M430" s="9">
        <f t="shared" si="26"/>
        <v>40585.25</v>
      </c>
      <c r="N430">
        <v>1298008800</v>
      </c>
      <c r="O430" s="9">
        <f t="shared" si="27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_xlfn.TEXTSPLIT(R430,"/")</f>
        <v>film &amp; video</v>
      </c>
      <c r="T430" t="str">
        <v>animation</v>
      </c>
    </row>
    <row r="431" spans="1:20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24"/>
        <v>0.90680000000000005</v>
      </c>
      <c r="G431" t="s">
        <v>74</v>
      </c>
      <c r="H431">
        <v>2138</v>
      </c>
      <c r="I431" s="5">
        <f t="shared" si="25"/>
        <v>81.010000000000005</v>
      </c>
      <c r="J431" t="s">
        <v>21</v>
      </c>
      <c r="K431" t="s">
        <v>22</v>
      </c>
      <c r="L431">
        <v>1392012000</v>
      </c>
      <c r="M431" s="9">
        <f t="shared" si="26"/>
        <v>41680.25</v>
      </c>
      <c r="N431">
        <v>1394427600</v>
      </c>
      <c r="O431" s="9">
        <f t="shared" si="27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_xlfn.TEXTSPLIT(R431,"/")</f>
        <v>photography</v>
      </c>
      <c r="T431" t="str">
        <v>photography books</v>
      </c>
    </row>
    <row r="432" spans="1:20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24"/>
        <v>0.6774</v>
      </c>
      <c r="G432" t="s">
        <v>14</v>
      </c>
      <c r="H432">
        <v>84</v>
      </c>
      <c r="I432" s="5">
        <f t="shared" si="25"/>
        <v>65.319999999999993</v>
      </c>
      <c r="J432" t="s">
        <v>21</v>
      </c>
      <c r="K432" t="s">
        <v>22</v>
      </c>
      <c r="L432">
        <v>1569733200</v>
      </c>
      <c r="M432" s="9">
        <f t="shared" si="26"/>
        <v>43737.208333333328</v>
      </c>
      <c r="N432">
        <v>1572670800</v>
      </c>
      <c r="O432" s="9">
        <f t="shared" si="27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_xlfn.TEXTSPLIT(R432,"/")</f>
        <v>theater</v>
      </c>
      <c r="T432" t="str">
        <v>plays</v>
      </c>
    </row>
    <row r="433" spans="1:20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24"/>
        <v>1.9249000000000001</v>
      </c>
      <c r="G433" t="s">
        <v>20</v>
      </c>
      <c r="H433">
        <v>94</v>
      </c>
      <c r="I433" s="5">
        <f t="shared" si="25"/>
        <v>104.44</v>
      </c>
      <c r="J433" t="s">
        <v>21</v>
      </c>
      <c r="K433" t="s">
        <v>22</v>
      </c>
      <c r="L433">
        <v>1529643600</v>
      </c>
      <c r="M433" s="9">
        <f t="shared" si="26"/>
        <v>43273.208333333328</v>
      </c>
      <c r="N433">
        <v>1531112400</v>
      </c>
      <c r="O433" s="9">
        <f t="shared" si="27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_xlfn.TEXTSPLIT(R433,"/")</f>
        <v>theater</v>
      </c>
      <c r="T433" t="str">
        <v>plays</v>
      </c>
    </row>
    <row r="434" spans="1:20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24"/>
        <v>0.82709999999999995</v>
      </c>
      <c r="G434" t="s">
        <v>14</v>
      </c>
      <c r="H434">
        <v>91</v>
      </c>
      <c r="I434" s="5">
        <f t="shared" si="25"/>
        <v>69.989999999999995</v>
      </c>
      <c r="J434" t="s">
        <v>21</v>
      </c>
      <c r="K434" t="s">
        <v>22</v>
      </c>
      <c r="L434">
        <v>1399006800</v>
      </c>
      <c r="M434" s="9">
        <f t="shared" si="26"/>
        <v>41761.208333333336</v>
      </c>
      <c r="N434">
        <v>1400734800</v>
      </c>
      <c r="O434" s="9">
        <f t="shared" si="27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_xlfn.TEXTSPLIT(R434,"/")</f>
        <v>theater</v>
      </c>
      <c r="T434" t="str">
        <v>plays</v>
      </c>
    </row>
    <row r="435" spans="1:20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24"/>
        <v>0.54159999999999997</v>
      </c>
      <c r="G435" t="s">
        <v>14</v>
      </c>
      <c r="H435">
        <v>792</v>
      </c>
      <c r="I435" s="5">
        <f t="shared" si="25"/>
        <v>83.02</v>
      </c>
      <c r="J435" t="s">
        <v>21</v>
      </c>
      <c r="K435" t="s">
        <v>22</v>
      </c>
      <c r="L435">
        <v>1385359200</v>
      </c>
      <c r="M435" s="9">
        <f t="shared" si="26"/>
        <v>41603.25</v>
      </c>
      <c r="N435">
        <v>1386741600</v>
      </c>
      <c r="O435" s="9">
        <f t="shared" si="27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_xlfn.TEXTSPLIT(R435,"/")</f>
        <v>film &amp; video</v>
      </c>
      <c r="T435" t="str">
        <v>documentary</v>
      </c>
    </row>
    <row r="436" spans="1:20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24"/>
        <v>0.16719999999999999</v>
      </c>
      <c r="G436" t="s">
        <v>74</v>
      </c>
      <c r="H436">
        <v>10</v>
      </c>
      <c r="I436" s="5">
        <f t="shared" si="25"/>
        <v>90.3</v>
      </c>
      <c r="J436" t="s">
        <v>15</v>
      </c>
      <c r="K436" t="s">
        <v>16</v>
      </c>
      <c r="L436">
        <v>1480572000</v>
      </c>
      <c r="M436" s="9">
        <f t="shared" si="26"/>
        <v>42705.25</v>
      </c>
      <c r="N436">
        <v>1481781600</v>
      </c>
      <c r="O436" s="9">
        <f t="shared" si="27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_xlfn.TEXTSPLIT(R436,"/")</f>
        <v>theater</v>
      </c>
      <c r="T436" t="str">
        <v>plays</v>
      </c>
    </row>
    <row r="437" spans="1:20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24"/>
        <v>1.1688000000000001</v>
      </c>
      <c r="G437" t="s">
        <v>20</v>
      </c>
      <c r="H437">
        <v>1713</v>
      </c>
      <c r="I437" s="5">
        <f t="shared" si="25"/>
        <v>103.98</v>
      </c>
      <c r="J437" t="s">
        <v>107</v>
      </c>
      <c r="K437" t="s">
        <v>108</v>
      </c>
      <c r="L437">
        <v>1418623200</v>
      </c>
      <c r="M437" s="9">
        <f t="shared" si="26"/>
        <v>41988.25</v>
      </c>
      <c r="N437">
        <v>1419660000</v>
      </c>
      <c r="O437" s="9">
        <f t="shared" si="27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_xlfn.TEXTSPLIT(R437,"/")</f>
        <v>theater</v>
      </c>
      <c r="T437" t="str">
        <v>plays</v>
      </c>
    </row>
    <row r="438" spans="1:20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24"/>
        <v>10.5215</v>
      </c>
      <c r="G438" t="s">
        <v>20</v>
      </c>
      <c r="H438">
        <v>249</v>
      </c>
      <c r="I438" s="5">
        <f t="shared" si="25"/>
        <v>54.93</v>
      </c>
      <c r="J438" t="s">
        <v>21</v>
      </c>
      <c r="K438" t="s">
        <v>22</v>
      </c>
      <c r="L438">
        <v>1555736400</v>
      </c>
      <c r="M438" s="9">
        <f t="shared" si="26"/>
        <v>43575.208333333328</v>
      </c>
      <c r="N438">
        <v>1555822800</v>
      </c>
      <c r="O438" s="9">
        <f t="shared" si="27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_xlfn.TEXTSPLIT(R438,"/")</f>
        <v>music</v>
      </c>
      <c r="T438" t="str">
        <v>jazz</v>
      </c>
    </row>
    <row r="439" spans="1:20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24"/>
        <v>1.2306999999999999</v>
      </c>
      <c r="G439" t="s">
        <v>20</v>
      </c>
      <c r="H439">
        <v>192</v>
      </c>
      <c r="I439" s="5">
        <f t="shared" si="25"/>
        <v>51.92</v>
      </c>
      <c r="J439" t="s">
        <v>21</v>
      </c>
      <c r="K439" t="s">
        <v>22</v>
      </c>
      <c r="L439">
        <v>1442120400</v>
      </c>
      <c r="M439" s="9">
        <f t="shared" si="26"/>
        <v>42260.208333333328</v>
      </c>
      <c r="N439">
        <v>1442379600</v>
      </c>
      <c r="O439" s="9">
        <f t="shared" si="27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_xlfn.TEXTSPLIT(R439,"/")</f>
        <v>film &amp; video</v>
      </c>
      <c r="T439" t="str">
        <v>animation</v>
      </c>
    </row>
    <row r="440" spans="1:20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24"/>
        <v>1.7864</v>
      </c>
      <c r="G440" t="s">
        <v>20</v>
      </c>
      <c r="H440">
        <v>247</v>
      </c>
      <c r="I440" s="5">
        <f t="shared" si="25"/>
        <v>60.03</v>
      </c>
      <c r="J440" t="s">
        <v>21</v>
      </c>
      <c r="K440" t="s">
        <v>22</v>
      </c>
      <c r="L440">
        <v>1362376800</v>
      </c>
      <c r="M440" s="9">
        <f t="shared" si="26"/>
        <v>41337.25</v>
      </c>
      <c r="N440">
        <v>1364965200</v>
      </c>
      <c r="O440" s="9">
        <f t="shared" si="27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_xlfn.TEXTSPLIT(R440,"/")</f>
        <v>theater</v>
      </c>
      <c r="T440" t="str">
        <v>plays</v>
      </c>
    </row>
    <row r="441" spans="1:20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24"/>
        <v>3.5528</v>
      </c>
      <c r="G441" t="s">
        <v>20</v>
      </c>
      <c r="H441">
        <v>2293</v>
      </c>
      <c r="I441" s="5">
        <f t="shared" si="25"/>
        <v>44</v>
      </c>
      <c r="J441" t="s">
        <v>21</v>
      </c>
      <c r="K441" t="s">
        <v>22</v>
      </c>
      <c r="L441">
        <v>1478408400</v>
      </c>
      <c r="M441" s="9">
        <f t="shared" si="26"/>
        <v>42680.208333333328</v>
      </c>
      <c r="N441">
        <v>1479016800</v>
      </c>
      <c r="O441" s="9">
        <f t="shared" si="27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_xlfn.TEXTSPLIT(R441,"/")</f>
        <v>film &amp; video</v>
      </c>
      <c r="T441" t="str">
        <v>science fiction</v>
      </c>
    </row>
    <row r="442" spans="1:20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24"/>
        <v>1.6191</v>
      </c>
      <c r="G442" t="s">
        <v>20</v>
      </c>
      <c r="H442">
        <v>3131</v>
      </c>
      <c r="I442" s="5">
        <f t="shared" si="25"/>
        <v>53</v>
      </c>
      <c r="J442" t="s">
        <v>21</v>
      </c>
      <c r="K442" t="s">
        <v>22</v>
      </c>
      <c r="L442">
        <v>1498798800</v>
      </c>
      <c r="M442" s="9">
        <f t="shared" si="26"/>
        <v>42916.208333333328</v>
      </c>
      <c r="N442">
        <v>1499662800</v>
      </c>
      <c r="O442" s="9">
        <f t="shared" si="27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_xlfn.TEXTSPLIT(R442,"/")</f>
        <v>film &amp; video</v>
      </c>
      <c r="T442" t="str">
        <v>television</v>
      </c>
    </row>
    <row r="443" spans="1:20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24"/>
        <v>0.24909999999999999</v>
      </c>
      <c r="G443" t="s">
        <v>14</v>
      </c>
      <c r="H443">
        <v>32</v>
      </c>
      <c r="I443" s="5">
        <f t="shared" si="25"/>
        <v>54.5</v>
      </c>
      <c r="J443" t="s">
        <v>21</v>
      </c>
      <c r="K443" t="s">
        <v>22</v>
      </c>
      <c r="L443">
        <v>1335416400</v>
      </c>
      <c r="M443" s="9">
        <f t="shared" si="26"/>
        <v>41025.208333333336</v>
      </c>
      <c r="N443">
        <v>1337835600</v>
      </c>
      <c r="O443" s="9">
        <f t="shared" si="27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_xlfn.TEXTSPLIT(R443,"/")</f>
        <v>technology</v>
      </c>
      <c r="T443" t="str">
        <v>wearables</v>
      </c>
    </row>
    <row r="444" spans="1:20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24"/>
        <v>1.9872000000000001</v>
      </c>
      <c r="G444" t="s">
        <v>20</v>
      </c>
      <c r="H444">
        <v>143</v>
      </c>
      <c r="I444" s="5">
        <f t="shared" si="25"/>
        <v>75.040000000000006</v>
      </c>
      <c r="J444" t="s">
        <v>107</v>
      </c>
      <c r="K444" t="s">
        <v>108</v>
      </c>
      <c r="L444">
        <v>1504328400</v>
      </c>
      <c r="M444" s="9">
        <f t="shared" si="26"/>
        <v>42980.208333333328</v>
      </c>
      <c r="N444">
        <v>1505710800</v>
      </c>
      <c r="O444" s="9">
        <f t="shared" si="27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_xlfn.TEXTSPLIT(R444,"/")</f>
        <v>theater</v>
      </c>
      <c r="T444" t="str">
        <v>plays</v>
      </c>
    </row>
    <row r="445" spans="1:20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24"/>
        <v>0.34749999999999998</v>
      </c>
      <c r="G445" t="s">
        <v>74</v>
      </c>
      <c r="H445">
        <v>90</v>
      </c>
      <c r="I445" s="5">
        <f t="shared" si="25"/>
        <v>35.909999999999997</v>
      </c>
      <c r="J445" t="s">
        <v>21</v>
      </c>
      <c r="K445" t="s">
        <v>22</v>
      </c>
      <c r="L445">
        <v>1285822800</v>
      </c>
      <c r="M445" s="9">
        <f t="shared" si="26"/>
        <v>40451.208333333336</v>
      </c>
      <c r="N445">
        <v>1287464400</v>
      </c>
      <c r="O445" s="9">
        <f t="shared" si="27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_xlfn.TEXTSPLIT(R445,"/")</f>
        <v>theater</v>
      </c>
      <c r="T445" t="str">
        <v>plays</v>
      </c>
    </row>
    <row r="446" spans="1:20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24"/>
        <v>1.7642</v>
      </c>
      <c r="G446" t="s">
        <v>20</v>
      </c>
      <c r="H446">
        <v>296</v>
      </c>
      <c r="I446" s="5">
        <f t="shared" si="25"/>
        <v>36.950000000000003</v>
      </c>
      <c r="J446" t="s">
        <v>21</v>
      </c>
      <c r="K446" t="s">
        <v>22</v>
      </c>
      <c r="L446">
        <v>1311483600</v>
      </c>
      <c r="M446" s="9">
        <f t="shared" si="26"/>
        <v>40748.208333333336</v>
      </c>
      <c r="N446">
        <v>1311656400</v>
      </c>
      <c r="O446" s="9">
        <f t="shared" si="27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_xlfn.TEXTSPLIT(R446,"/")</f>
        <v>music</v>
      </c>
      <c r="T446" t="str">
        <v>indie rock</v>
      </c>
    </row>
    <row r="447" spans="1:20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24"/>
        <v>5.1138000000000003</v>
      </c>
      <c r="G447" t="s">
        <v>20</v>
      </c>
      <c r="H447">
        <v>170</v>
      </c>
      <c r="I447" s="5">
        <f t="shared" si="25"/>
        <v>63.17</v>
      </c>
      <c r="J447" t="s">
        <v>21</v>
      </c>
      <c r="K447" t="s">
        <v>22</v>
      </c>
      <c r="L447">
        <v>1291356000</v>
      </c>
      <c r="M447" s="9">
        <f t="shared" si="26"/>
        <v>40515.25</v>
      </c>
      <c r="N447">
        <v>1293170400</v>
      </c>
      <c r="O447" s="9">
        <f t="shared" si="27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_xlfn.TEXTSPLIT(R447,"/")</f>
        <v>theater</v>
      </c>
      <c r="T447" t="str">
        <v>plays</v>
      </c>
    </row>
    <row r="448" spans="1:20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24"/>
        <v>0.82040000000000002</v>
      </c>
      <c r="G448" t="s">
        <v>14</v>
      </c>
      <c r="H448">
        <v>186</v>
      </c>
      <c r="I448" s="5">
        <f t="shared" si="25"/>
        <v>29.99</v>
      </c>
      <c r="J448" t="s">
        <v>21</v>
      </c>
      <c r="K448" t="s">
        <v>22</v>
      </c>
      <c r="L448">
        <v>1355810400</v>
      </c>
      <c r="M448" s="9">
        <f t="shared" si="26"/>
        <v>41261.25</v>
      </c>
      <c r="N448">
        <v>1355983200</v>
      </c>
      <c r="O448" s="9">
        <f t="shared" si="27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_xlfn.TEXTSPLIT(R448,"/")</f>
        <v>technology</v>
      </c>
      <c r="T448" t="str">
        <v>wearables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24"/>
        <v>0.24329999999999999</v>
      </c>
      <c r="G449" t="s">
        <v>74</v>
      </c>
      <c r="H449">
        <v>439</v>
      </c>
      <c r="I449" s="5">
        <f t="shared" si="25"/>
        <v>86</v>
      </c>
      <c r="J449" t="s">
        <v>40</v>
      </c>
      <c r="K449" t="s">
        <v>41</v>
      </c>
      <c r="L449">
        <v>1513663200</v>
      </c>
      <c r="M449" s="9">
        <f t="shared" si="26"/>
        <v>43088.25</v>
      </c>
      <c r="N449">
        <v>1515045600</v>
      </c>
      <c r="O449" s="9">
        <f t="shared" si="27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_xlfn.TEXTSPLIT(R449,"/")</f>
        <v>film &amp; video</v>
      </c>
      <c r="T449" t="str">
        <v>television</v>
      </c>
    </row>
    <row r="450" spans="1:20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24"/>
        <v>0.50480000000000003</v>
      </c>
      <c r="G450" t="s">
        <v>14</v>
      </c>
      <c r="H450">
        <v>605</v>
      </c>
      <c r="I450" s="5">
        <f t="shared" si="25"/>
        <v>75.010000000000005</v>
      </c>
      <c r="J450" t="s">
        <v>21</v>
      </c>
      <c r="K450" t="s">
        <v>22</v>
      </c>
      <c r="L450">
        <v>1365915600</v>
      </c>
      <c r="M450" s="9">
        <f t="shared" si="26"/>
        <v>41378.208333333336</v>
      </c>
      <c r="N450">
        <v>1366088400</v>
      </c>
      <c r="O450" s="9">
        <f t="shared" si="27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_xlfn.TEXTSPLIT(R450,"/")</f>
        <v>games</v>
      </c>
      <c r="T450" t="str">
        <v>video games</v>
      </c>
    </row>
    <row r="451" spans="1:20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ref="F451:F514" si="28">ROUND(E451/D451,4)</f>
        <v>9.67</v>
      </c>
      <c r="G451" t="s">
        <v>20</v>
      </c>
      <c r="H451">
        <v>86</v>
      </c>
      <c r="I451" s="5">
        <f t="shared" ref="I451:I514" si="29">IF(H451=0,"0",(ROUND(E451/H451,2)))</f>
        <v>101.2</v>
      </c>
      <c r="J451" t="s">
        <v>36</v>
      </c>
      <c r="K451" t="s">
        <v>37</v>
      </c>
      <c r="L451">
        <v>1551852000</v>
      </c>
      <c r="M451" s="9">
        <f t="shared" ref="M451:M514" si="30">(((L451/60)/60)/24)+DATE(1970,1,1)</f>
        <v>43530.25</v>
      </c>
      <c r="N451">
        <v>1553317200</v>
      </c>
      <c r="O451" s="9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_xlfn.TEXTSPLIT(R451,"/")</f>
        <v>games</v>
      </c>
      <c r="T451" t="str">
        <v>video games</v>
      </c>
    </row>
    <row r="452" spans="1:20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si="28"/>
        <v>0.04</v>
      </c>
      <c r="G452" t="s">
        <v>14</v>
      </c>
      <c r="H452">
        <v>1</v>
      </c>
      <c r="I452" s="5">
        <f t="shared" si="29"/>
        <v>4</v>
      </c>
      <c r="J452" t="s">
        <v>15</v>
      </c>
      <c r="K452" t="s">
        <v>16</v>
      </c>
      <c r="L452">
        <v>1540098000</v>
      </c>
      <c r="M452" s="9">
        <f t="shared" si="30"/>
        <v>43394.208333333328</v>
      </c>
      <c r="N452">
        <v>1542088800</v>
      </c>
      <c r="O452" s="9">
        <f t="shared" si="31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_xlfn.TEXTSPLIT(R452,"/")</f>
        <v>film &amp; video</v>
      </c>
      <c r="T452" t="str">
        <v>animation</v>
      </c>
    </row>
    <row r="453" spans="1:20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28"/>
        <v>1.2284999999999999</v>
      </c>
      <c r="G453" t="s">
        <v>20</v>
      </c>
      <c r="H453">
        <v>6286</v>
      </c>
      <c r="I453" s="5">
        <f t="shared" si="29"/>
        <v>29</v>
      </c>
      <c r="J453" t="s">
        <v>21</v>
      </c>
      <c r="K453" t="s">
        <v>22</v>
      </c>
      <c r="L453">
        <v>1500440400</v>
      </c>
      <c r="M453" s="9">
        <f t="shared" si="30"/>
        <v>42935.208333333328</v>
      </c>
      <c r="N453">
        <v>1503118800</v>
      </c>
      <c r="O453" s="9">
        <f t="shared" si="31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_xlfn.TEXTSPLIT(R453,"/")</f>
        <v>music</v>
      </c>
      <c r="T453" t="str">
        <v>rock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28"/>
        <v>0.63439999999999996</v>
      </c>
      <c r="G454" t="s">
        <v>14</v>
      </c>
      <c r="H454">
        <v>31</v>
      </c>
      <c r="I454" s="5">
        <f t="shared" si="29"/>
        <v>98.23</v>
      </c>
      <c r="J454" t="s">
        <v>21</v>
      </c>
      <c r="K454" t="s">
        <v>22</v>
      </c>
      <c r="L454">
        <v>1278392400</v>
      </c>
      <c r="M454" s="9">
        <f t="shared" si="30"/>
        <v>40365.208333333336</v>
      </c>
      <c r="N454">
        <v>1278478800</v>
      </c>
      <c r="O454" s="9">
        <f t="shared" si="31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_xlfn.TEXTSPLIT(R454,"/")</f>
        <v>film &amp; video</v>
      </c>
      <c r="T454" t="str">
        <v>drama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28"/>
        <v>0.56330000000000002</v>
      </c>
      <c r="G455" t="s">
        <v>14</v>
      </c>
      <c r="H455">
        <v>1181</v>
      </c>
      <c r="I455" s="5">
        <f t="shared" si="29"/>
        <v>87</v>
      </c>
      <c r="J455" t="s">
        <v>21</v>
      </c>
      <c r="K455" t="s">
        <v>22</v>
      </c>
      <c r="L455">
        <v>1480572000</v>
      </c>
      <c r="M455" s="9">
        <f t="shared" si="30"/>
        <v>42705.25</v>
      </c>
      <c r="N455">
        <v>1484114400</v>
      </c>
      <c r="O455" s="9">
        <f t="shared" si="31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_xlfn.TEXTSPLIT(R455,"/")</f>
        <v>film &amp; video</v>
      </c>
      <c r="T455" t="str">
        <v>science fiction</v>
      </c>
    </row>
    <row r="456" spans="1:20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28"/>
        <v>0.44080000000000003</v>
      </c>
      <c r="G456" t="s">
        <v>14</v>
      </c>
      <c r="H456">
        <v>39</v>
      </c>
      <c r="I456" s="5">
        <f t="shared" si="29"/>
        <v>45.21</v>
      </c>
      <c r="J456" t="s">
        <v>21</v>
      </c>
      <c r="K456" t="s">
        <v>22</v>
      </c>
      <c r="L456">
        <v>1382331600</v>
      </c>
      <c r="M456" s="9">
        <f t="shared" si="30"/>
        <v>41568.208333333336</v>
      </c>
      <c r="N456">
        <v>1385445600</v>
      </c>
      <c r="O456" s="9">
        <f t="shared" si="31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_xlfn.TEXTSPLIT(R456,"/")</f>
        <v>film &amp; video</v>
      </c>
      <c r="T456" t="str">
        <v>drama</v>
      </c>
    </row>
    <row r="457" spans="1:20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28"/>
        <v>1.1837</v>
      </c>
      <c r="G457" t="s">
        <v>20</v>
      </c>
      <c r="H457">
        <v>3727</v>
      </c>
      <c r="I457" s="5">
        <f t="shared" si="29"/>
        <v>37</v>
      </c>
      <c r="J457" t="s">
        <v>21</v>
      </c>
      <c r="K457" t="s">
        <v>22</v>
      </c>
      <c r="L457">
        <v>1316754000</v>
      </c>
      <c r="M457" s="9">
        <f t="shared" si="30"/>
        <v>40809.208333333336</v>
      </c>
      <c r="N457">
        <v>1318741200</v>
      </c>
      <c r="O457" s="9">
        <f t="shared" si="31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_xlfn.TEXTSPLIT(R457,"/")</f>
        <v>theater</v>
      </c>
      <c r="T457" t="str">
        <v>plays</v>
      </c>
    </row>
    <row r="458" spans="1:20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28"/>
        <v>1.0411999999999999</v>
      </c>
      <c r="G458" t="s">
        <v>20</v>
      </c>
      <c r="H458">
        <v>1605</v>
      </c>
      <c r="I458" s="5">
        <f t="shared" si="29"/>
        <v>94.98</v>
      </c>
      <c r="J458" t="s">
        <v>21</v>
      </c>
      <c r="K458" t="s">
        <v>22</v>
      </c>
      <c r="L458">
        <v>1518242400</v>
      </c>
      <c r="M458" s="9">
        <f t="shared" si="30"/>
        <v>43141.25</v>
      </c>
      <c r="N458">
        <v>1518242400</v>
      </c>
      <c r="O458" s="9">
        <f t="shared" si="31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_xlfn.TEXTSPLIT(R458,"/")</f>
        <v>music</v>
      </c>
      <c r="T458" t="str">
        <v>indie rock</v>
      </c>
    </row>
    <row r="459" spans="1:20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28"/>
        <v>0.26640000000000003</v>
      </c>
      <c r="G459" t="s">
        <v>14</v>
      </c>
      <c r="H459">
        <v>46</v>
      </c>
      <c r="I459" s="5">
        <f t="shared" si="29"/>
        <v>28.96</v>
      </c>
      <c r="J459" t="s">
        <v>21</v>
      </c>
      <c r="K459" t="s">
        <v>22</v>
      </c>
      <c r="L459">
        <v>1476421200</v>
      </c>
      <c r="M459" s="9">
        <f t="shared" si="30"/>
        <v>42657.208333333328</v>
      </c>
      <c r="N459">
        <v>1476594000</v>
      </c>
      <c r="O459" s="9">
        <f t="shared" si="31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_xlfn.TEXTSPLIT(R459,"/")</f>
        <v>theater</v>
      </c>
      <c r="T459" t="str">
        <v>plays</v>
      </c>
    </row>
    <row r="460" spans="1:20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28"/>
        <v>3.512</v>
      </c>
      <c r="G460" t="s">
        <v>20</v>
      </c>
      <c r="H460">
        <v>2120</v>
      </c>
      <c r="I460" s="5">
        <f t="shared" si="29"/>
        <v>55.99</v>
      </c>
      <c r="J460" t="s">
        <v>21</v>
      </c>
      <c r="K460" t="s">
        <v>22</v>
      </c>
      <c r="L460">
        <v>1269752400</v>
      </c>
      <c r="M460" s="9">
        <f t="shared" si="30"/>
        <v>40265.208333333336</v>
      </c>
      <c r="N460">
        <v>1273554000</v>
      </c>
      <c r="O460" s="9">
        <f t="shared" si="31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_xlfn.TEXTSPLIT(R460,"/")</f>
        <v>theater</v>
      </c>
      <c r="T460" t="str">
        <v>plays</v>
      </c>
    </row>
    <row r="461" spans="1:20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28"/>
        <v>0.90059999999999996</v>
      </c>
      <c r="G461" t="s">
        <v>14</v>
      </c>
      <c r="H461">
        <v>105</v>
      </c>
      <c r="I461" s="5">
        <f t="shared" si="29"/>
        <v>54.04</v>
      </c>
      <c r="J461" t="s">
        <v>21</v>
      </c>
      <c r="K461" t="s">
        <v>22</v>
      </c>
      <c r="L461">
        <v>1419746400</v>
      </c>
      <c r="M461" s="9">
        <f t="shared" si="30"/>
        <v>42001.25</v>
      </c>
      <c r="N461">
        <v>1421906400</v>
      </c>
      <c r="O461" s="9">
        <f t="shared" si="31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_xlfn.TEXTSPLIT(R461,"/")</f>
        <v>film &amp; video</v>
      </c>
      <c r="T461" t="str">
        <v>documentary</v>
      </c>
    </row>
    <row r="462" spans="1:20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28"/>
        <v>1.7162999999999999</v>
      </c>
      <c r="G462" t="s">
        <v>20</v>
      </c>
      <c r="H462">
        <v>50</v>
      </c>
      <c r="I462" s="5">
        <f t="shared" si="29"/>
        <v>82.38</v>
      </c>
      <c r="J462" t="s">
        <v>21</v>
      </c>
      <c r="K462" t="s">
        <v>22</v>
      </c>
      <c r="L462">
        <v>1281330000</v>
      </c>
      <c r="M462" s="9">
        <f t="shared" si="30"/>
        <v>40399.208333333336</v>
      </c>
      <c r="N462">
        <v>1281589200</v>
      </c>
      <c r="O462" s="9">
        <f t="shared" si="31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_xlfn.TEXTSPLIT(R462,"/")</f>
        <v>theater</v>
      </c>
      <c r="T462" t="str">
        <v>plays</v>
      </c>
    </row>
    <row r="463" spans="1:20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28"/>
        <v>1.4105000000000001</v>
      </c>
      <c r="G463" t="s">
        <v>20</v>
      </c>
      <c r="H463">
        <v>2080</v>
      </c>
      <c r="I463" s="5">
        <f t="shared" si="29"/>
        <v>67</v>
      </c>
      <c r="J463" t="s">
        <v>21</v>
      </c>
      <c r="K463" t="s">
        <v>22</v>
      </c>
      <c r="L463">
        <v>1398661200</v>
      </c>
      <c r="M463" s="9">
        <f t="shared" si="30"/>
        <v>41757.208333333336</v>
      </c>
      <c r="N463">
        <v>1400389200</v>
      </c>
      <c r="O463" s="9">
        <f t="shared" si="31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_xlfn.TEXTSPLIT(R463,"/")</f>
        <v>film &amp; video</v>
      </c>
      <c r="T463" t="str">
        <v>drama</v>
      </c>
    </row>
    <row r="464" spans="1:20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28"/>
        <v>0.30580000000000002</v>
      </c>
      <c r="G464" t="s">
        <v>14</v>
      </c>
      <c r="H464">
        <v>535</v>
      </c>
      <c r="I464" s="5">
        <f t="shared" si="29"/>
        <v>107.91</v>
      </c>
      <c r="J464" t="s">
        <v>21</v>
      </c>
      <c r="K464" t="s">
        <v>22</v>
      </c>
      <c r="L464">
        <v>1359525600</v>
      </c>
      <c r="M464" s="9">
        <f t="shared" si="30"/>
        <v>41304.25</v>
      </c>
      <c r="N464">
        <v>1362808800</v>
      </c>
      <c r="O464" s="9">
        <f t="shared" si="31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_xlfn.TEXTSPLIT(R464,"/")</f>
        <v>games</v>
      </c>
      <c r="T464" t="str">
        <v>mobile games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28"/>
        <v>1.0815999999999999</v>
      </c>
      <c r="G465" t="s">
        <v>20</v>
      </c>
      <c r="H465">
        <v>2105</v>
      </c>
      <c r="I465" s="5">
        <f t="shared" si="29"/>
        <v>69.010000000000005</v>
      </c>
      <c r="J465" t="s">
        <v>21</v>
      </c>
      <c r="K465" t="s">
        <v>22</v>
      </c>
      <c r="L465">
        <v>1388469600</v>
      </c>
      <c r="M465" s="9">
        <f t="shared" si="30"/>
        <v>41639.25</v>
      </c>
      <c r="N465">
        <v>1388815200</v>
      </c>
      <c r="O465" s="9">
        <f t="shared" si="31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_xlfn.TEXTSPLIT(R465,"/")</f>
        <v>film &amp; video</v>
      </c>
      <c r="T465" t="str">
        <v>animation</v>
      </c>
    </row>
    <row r="466" spans="1:20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28"/>
        <v>1.3346</v>
      </c>
      <c r="G466" t="s">
        <v>20</v>
      </c>
      <c r="H466">
        <v>2436</v>
      </c>
      <c r="I466" s="5">
        <f t="shared" si="29"/>
        <v>39.01</v>
      </c>
      <c r="J466" t="s">
        <v>21</v>
      </c>
      <c r="K466" t="s">
        <v>22</v>
      </c>
      <c r="L466">
        <v>1518328800</v>
      </c>
      <c r="M466" s="9">
        <f t="shared" si="30"/>
        <v>43142.25</v>
      </c>
      <c r="N466">
        <v>1519538400</v>
      </c>
      <c r="O466" s="9">
        <f t="shared" si="31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_xlfn.TEXTSPLIT(R466,"/")</f>
        <v>theater</v>
      </c>
      <c r="T466" t="str">
        <v>plays</v>
      </c>
    </row>
    <row r="467" spans="1:20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28"/>
        <v>1.8785000000000001</v>
      </c>
      <c r="G467" t="s">
        <v>20</v>
      </c>
      <c r="H467">
        <v>80</v>
      </c>
      <c r="I467" s="5">
        <f t="shared" si="29"/>
        <v>110.36</v>
      </c>
      <c r="J467" t="s">
        <v>21</v>
      </c>
      <c r="K467" t="s">
        <v>22</v>
      </c>
      <c r="L467">
        <v>1517032800</v>
      </c>
      <c r="M467" s="9">
        <f t="shared" si="30"/>
        <v>43127.25</v>
      </c>
      <c r="N467">
        <v>1517810400</v>
      </c>
      <c r="O467" s="9">
        <f t="shared" si="31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_xlfn.TEXTSPLIT(R467,"/")</f>
        <v>publishing</v>
      </c>
      <c r="T467" t="str">
        <v>translations</v>
      </c>
    </row>
    <row r="468" spans="1:20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28"/>
        <v>3.32</v>
      </c>
      <c r="G468" t="s">
        <v>20</v>
      </c>
      <c r="H468">
        <v>42</v>
      </c>
      <c r="I468" s="5">
        <f t="shared" si="29"/>
        <v>94.86</v>
      </c>
      <c r="J468" t="s">
        <v>21</v>
      </c>
      <c r="K468" t="s">
        <v>22</v>
      </c>
      <c r="L468">
        <v>1368594000</v>
      </c>
      <c r="M468" s="9">
        <f t="shared" si="30"/>
        <v>41409.208333333336</v>
      </c>
      <c r="N468">
        <v>1370581200</v>
      </c>
      <c r="O468" s="9">
        <f t="shared" si="31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_xlfn.TEXTSPLIT(R468,"/")</f>
        <v>technology</v>
      </c>
      <c r="T468" t="str">
        <v>wearables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28"/>
        <v>5.7521000000000004</v>
      </c>
      <c r="G469" t="s">
        <v>20</v>
      </c>
      <c r="H469">
        <v>139</v>
      </c>
      <c r="I469" s="5">
        <f t="shared" si="29"/>
        <v>57.94</v>
      </c>
      <c r="J469" t="s">
        <v>15</v>
      </c>
      <c r="K469" t="s">
        <v>16</v>
      </c>
      <c r="L469">
        <v>1448258400</v>
      </c>
      <c r="M469" s="9">
        <f t="shared" si="30"/>
        <v>42331.25</v>
      </c>
      <c r="N469">
        <v>1448863200</v>
      </c>
      <c r="O469" s="9">
        <f t="shared" si="31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_xlfn.TEXTSPLIT(R469,"/")</f>
        <v>technology</v>
      </c>
      <c r="T469" t="str">
        <v>web</v>
      </c>
    </row>
    <row r="470" spans="1:20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28"/>
        <v>0.40500000000000003</v>
      </c>
      <c r="G470" t="s">
        <v>14</v>
      </c>
      <c r="H470">
        <v>16</v>
      </c>
      <c r="I470" s="5">
        <f t="shared" si="29"/>
        <v>101.25</v>
      </c>
      <c r="J470" t="s">
        <v>21</v>
      </c>
      <c r="K470" t="s">
        <v>22</v>
      </c>
      <c r="L470">
        <v>1555218000</v>
      </c>
      <c r="M470" s="9">
        <f t="shared" si="30"/>
        <v>43569.208333333328</v>
      </c>
      <c r="N470">
        <v>1556600400</v>
      </c>
      <c r="O470" s="9">
        <f t="shared" si="31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_xlfn.TEXTSPLIT(R470,"/")</f>
        <v>theater</v>
      </c>
      <c r="T470" t="str">
        <v>plays</v>
      </c>
    </row>
    <row r="471" spans="1:20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28"/>
        <v>1.8443000000000001</v>
      </c>
      <c r="G471" t="s">
        <v>20</v>
      </c>
      <c r="H471">
        <v>159</v>
      </c>
      <c r="I471" s="5">
        <f t="shared" si="29"/>
        <v>64.959999999999994</v>
      </c>
      <c r="J471" t="s">
        <v>21</v>
      </c>
      <c r="K471" t="s">
        <v>22</v>
      </c>
      <c r="L471">
        <v>1431925200</v>
      </c>
      <c r="M471" s="9">
        <f t="shared" si="30"/>
        <v>42142.208333333328</v>
      </c>
      <c r="N471">
        <v>1432098000</v>
      </c>
      <c r="O471" s="9">
        <f t="shared" si="31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_xlfn.TEXTSPLIT(R471,"/")</f>
        <v>film &amp; video</v>
      </c>
      <c r="T471" t="str">
        <v>drama</v>
      </c>
    </row>
    <row r="472" spans="1:20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28"/>
        <v>2.8580999999999999</v>
      </c>
      <c r="G472" t="s">
        <v>20</v>
      </c>
      <c r="H472">
        <v>381</v>
      </c>
      <c r="I472" s="5">
        <f t="shared" si="29"/>
        <v>27.01</v>
      </c>
      <c r="J472" t="s">
        <v>21</v>
      </c>
      <c r="K472" t="s">
        <v>22</v>
      </c>
      <c r="L472">
        <v>1481522400</v>
      </c>
      <c r="M472" s="9">
        <f t="shared" si="30"/>
        <v>42716.25</v>
      </c>
      <c r="N472">
        <v>1482127200</v>
      </c>
      <c r="O472" s="9">
        <f t="shared" si="31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_xlfn.TEXTSPLIT(R472,"/")</f>
        <v>technology</v>
      </c>
      <c r="T472" t="str">
        <v>wearables</v>
      </c>
    </row>
    <row r="473" spans="1:20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28"/>
        <v>3.19</v>
      </c>
      <c r="G473" t="s">
        <v>20</v>
      </c>
      <c r="H473">
        <v>194</v>
      </c>
      <c r="I473" s="5">
        <f t="shared" si="29"/>
        <v>50.97</v>
      </c>
      <c r="J473" t="s">
        <v>40</v>
      </c>
      <c r="K473" t="s">
        <v>41</v>
      </c>
      <c r="L473">
        <v>1335934800</v>
      </c>
      <c r="M473" s="9">
        <f t="shared" si="30"/>
        <v>41031.208333333336</v>
      </c>
      <c r="N473">
        <v>1335934800</v>
      </c>
      <c r="O473" s="9">
        <f t="shared" si="31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_xlfn.TEXTSPLIT(R473,"/")</f>
        <v>food</v>
      </c>
      <c r="T473" t="str">
        <v>food trucks</v>
      </c>
    </row>
    <row r="474" spans="1:20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28"/>
        <v>0.39229999999999998</v>
      </c>
      <c r="G474" t="s">
        <v>14</v>
      </c>
      <c r="H474">
        <v>575</v>
      </c>
      <c r="I474" s="5">
        <f t="shared" si="29"/>
        <v>104.94</v>
      </c>
      <c r="J474" t="s">
        <v>21</v>
      </c>
      <c r="K474" t="s">
        <v>22</v>
      </c>
      <c r="L474">
        <v>1552280400</v>
      </c>
      <c r="M474" s="9">
        <f t="shared" si="30"/>
        <v>43535.208333333328</v>
      </c>
      <c r="N474">
        <v>1556946000</v>
      </c>
      <c r="O474" s="9">
        <f t="shared" si="31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_xlfn.TEXTSPLIT(R474,"/")</f>
        <v>music</v>
      </c>
      <c r="T474" t="str">
        <v>rock</v>
      </c>
    </row>
    <row r="475" spans="1:20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28"/>
        <v>1.7814000000000001</v>
      </c>
      <c r="G475" t="s">
        <v>20</v>
      </c>
      <c r="H475">
        <v>106</v>
      </c>
      <c r="I475" s="5">
        <f t="shared" si="29"/>
        <v>84.03</v>
      </c>
      <c r="J475" t="s">
        <v>21</v>
      </c>
      <c r="K475" t="s">
        <v>22</v>
      </c>
      <c r="L475">
        <v>1529989200</v>
      </c>
      <c r="M475" s="9">
        <f t="shared" si="30"/>
        <v>43277.208333333328</v>
      </c>
      <c r="N475">
        <v>1530075600</v>
      </c>
      <c r="O475" s="9">
        <f t="shared" si="31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_xlfn.TEXTSPLIT(R475,"/")</f>
        <v>music</v>
      </c>
      <c r="T475" t="str">
        <v>electric music</v>
      </c>
    </row>
    <row r="476" spans="1:20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28"/>
        <v>3.6515</v>
      </c>
      <c r="G476" t="s">
        <v>20</v>
      </c>
      <c r="H476">
        <v>142</v>
      </c>
      <c r="I476" s="5">
        <f t="shared" si="29"/>
        <v>102.86</v>
      </c>
      <c r="J476" t="s">
        <v>21</v>
      </c>
      <c r="K476" t="s">
        <v>22</v>
      </c>
      <c r="L476">
        <v>1418709600</v>
      </c>
      <c r="M476" s="9">
        <f t="shared" si="30"/>
        <v>41989.25</v>
      </c>
      <c r="N476">
        <v>1418796000</v>
      </c>
      <c r="O476" s="9">
        <f t="shared" si="31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_xlfn.TEXTSPLIT(R476,"/")</f>
        <v>film &amp; video</v>
      </c>
      <c r="T476" t="str">
        <v>television</v>
      </c>
    </row>
    <row r="477" spans="1:20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28"/>
        <v>1.1395</v>
      </c>
      <c r="G477" t="s">
        <v>20</v>
      </c>
      <c r="H477">
        <v>211</v>
      </c>
      <c r="I477" s="5">
        <f t="shared" si="29"/>
        <v>39.96</v>
      </c>
      <c r="J477" t="s">
        <v>21</v>
      </c>
      <c r="K477" t="s">
        <v>22</v>
      </c>
      <c r="L477">
        <v>1372136400</v>
      </c>
      <c r="M477" s="9">
        <f t="shared" si="30"/>
        <v>41450.208333333336</v>
      </c>
      <c r="N477">
        <v>1372482000</v>
      </c>
      <c r="O477" s="9">
        <f t="shared" si="31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_xlfn.TEXTSPLIT(R477,"/")</f>
        <v>publishing</v>
      </c>
      <c r="T477" t="str">
        <v>translations</v>
      </c>
    </row>
    <row r="478" spans="1:20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28"/>
        <v>0.29830000000000001</v>
      </c>
      <c r="G478" t="s">
        <v>14</v>
      </c>
      <c r="H478">
        <v>1120</v>
      </c>
      <c r="I478" s="5">
        <f t="shared" si="29"/>
        <v>51</v>
      </c>
      <c r="J478" t="s">
        <v>21</v>
      </c>
      <c r="K478" t="s">
        <v>22</v>
      </c>
      <c r="L478">
        <v>1533877200</v>
      </c>
      <c r="M478" s="9">
        <f t="shared" si="30"/>
        <v>43322.208333333328</v>
      </c>
      <c r="N478">
        <v>1534395600</v>
      </c>
      <c r="O478" s="9">
        <f t="shared" si="31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_xlfn.TEXTSPLIT(R478,"/")</f>
        <v>publishing</v>
      </c>
      <c r="T478" t="str">
        <v>fiction</v>
      </c>
    </row>
    <row r="479" spans="1:20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28"/>
        <v>0.54269999999999996</v>
      </c>
      <c r="G479" t="s">
        <v>14</v>
      </c>
      <c r="H479">
        <v>113</v>
      </c>
      <c r="I479" s="5">
        <f t="shared" si="29"/>
        <v>40.82</v>
      </c>
      <c r="J479" t="s">
        <v>21</v>
      </c>
      <c r="K479" t="s">
        <v>22</v>
      </c>
      <c r="L479">
        <v>1309064400</v>
      </c>
      <c r="M479" s="9">
        <f t="shared" si="30"/>
        <v>40720.208333333336</v>
      </c>
      <c r="N479">
        <v>1311397200</v>
      </c>
      <c r="O479" s="9">
        <f t="shared" si="31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_xlfn.TEXTSPLIT(R479,"/")</f>
        <v>film &amp; video</v>
      </c>
      <c r="T479" t="str">
        <v>science fiction</v>
      </c>
    </row>
    <row r="480" spans="1:20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28"/>
        <v>2.3633999999999999</v>
      </c>
      <c r="G480" t="s">
        <v>20</v>
      </c>
      <c r="H480">
        <v>2756</v>
      </c>
      <c r="I480" s="5">
        <f t="shared" si="29"/>
        <v>59</v>
      </c>
      <c r="J480" t="s">
        <v>21</v>
      </c>
      <c r="K480" t="s">
        <v>22</v>
      </c>
      <c r="L480">
        <v>1425877200</v>
      </c>
      <c r="M480" s="9">
        <f t="shared" si="30"/>
        <v>42072.208333333328</v>
      </c>
      <c r="N480">
        <v>1426914000</v>
      </c>
      <c r="O480" s="9">
        <f t="shared" si="31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_xlfn.TEXTSPLIT(R480,"/")</f>
        <v>technology</v>
      </c>
      <c r="T480" t="str">
        <v>wearables</v>
      </c>
    </row>
    <row r="481" spans="1:20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28"/>
        <v>5.1292</v>
      </c>
      <c r="G481" t="s">
        <v>20</v>
      </c>
      <c r="H481">
        <v>173</v>
      </c>
      <c r="I481" s="5">
        <f t="shared" si="29"/>
        <v>71.16</v>
      </c>
      <c r="J481" t="s">
        <v>40</v>
      </c>
      <c r="K481" t="s">
        <v>41</v>
      </c>
      <c r="L481">
        <v>1501304400</v>
      </c>
      <c r="M481" s="9">
        <f t="shared" si="30"/>
        <v>42945.208333333328</v>
      </c>
      <c r="N481">
        <v>1501477200</v>
      </c>
      <c r="O481" s="9">
        <f t="shared" si="31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_xlfn.TEXTSPLIT(R481,"/")</f>
        <v>food</v>
      </c>
      <c r="T481" t="str">
        <v>food trucks</v>
      </c>
    </row>
    <row r="482" spans="1:20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28"/>
        <v>1.0065</v>
      </c>
      <c r="G482" t="s">
        <v>20</v>
      </c>
      <c r="H482">
        <v>87</v>
      </c>
      <c r="I482" s="5">
        <f t="shared" si="29"/>
        <v>99.49</v>
      </c>
      <c r="J482" t="s">
        <v>21</v>
      </c>
      <c r="K482" t="s">
        <v>22</v>
      </c>
      <c r="L482">
        <v>1268287200</v>
      </c>
      <c r="M482" s="9">
        <f t="shared" si="30"/>
        <v>40248.25</v>
      </c>
      <c r="N482">
        <v>1269061200</v>
      </c>
      <c r="O482" s="9">
        <f t="shared" si="31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_xlfn.TEXTSPLIT(R482,"/")</f>
        <v>photography</v>
      </c>
      <c r="T482" t="str">
        <v>photography books</v>
      </c>
    </row>
    <row r="483" spans="1:20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28"/>
        <v>0.8135</v>
      </c>
      <c r="G483" t="s">
        <v>14</v>
      </c>
      <c r="H483">
        <v>1538</v>
      </c>
      <c r="I483" s="5">
        <f t="shared" si="29"/>
        <v>103.99</v>
      </c>
      <c r="J483" t="s">
        <v>21</v>
      </c>
      <c r="K483" t="s">
        <v>22</v>
      </c>
      <c r="L483">
        <v>1412139600</v>
      </c>
      <c r="M483" s="9">
        <f t="shared" si="30"/>
        <v>41913.208333333336</v>
      </c>
      <c r="N483">
        <v>1415772000</v>
      </c>
      <c r="O483" s="9">
        <f t="shared" si="31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_xlfn.TEXTSPLIT(R483,"/")</f>
        <v>theater</v>
      </c>
      <c r="T483" t="str">
        <v>plays</v>
      </c>
    </row>
    <row r="484" spans="1:20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28"/>
        <v>0.16400000000000001</v>
      </c>
      <c r="G484" t="s">
        <v>14</v>
      </c>
      <c r="H484">
        <v>9</v>
      </c>
      <c r="I484" s="5">
        <f t="shared" si="29"/>
        <v>76.56</v>
      </c>
      <c r="J484" t="s">
        <v>21</v>
      </c>
      <c r="K484" t="s">
        <v>22</v>
      </c>
      <c r="L484">
        <v>1330063200</v>
      </c>
      <c r="M484" s="9">
        <f t="shared" si="30"/>
        <v>40963.25</v>
      </c>
      <c r="N484">
        <v>1331013600</v>
      </c>
      <c r="O484" s="9">
        <f t="shared" si="31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_xlfn.TEXTSPLIT(R484,"/")</f>
        <v>publishing</v>
      </c>
      <c r="T484" t="str">
        <v>fiction</v>
      </c>
    </row>
    <row r="485" spans="1:20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28"/>
        <v>0.52769999999999995</v>
      </c>
      <c r="G485" t="s">
        <v>14</v>
      </c>
      <c r="H485">
        <v>554</v>
      </c>
      <c r="I485" s="5">
        <f t="shared" si="29"/>
        <v>87.07</v>
      </c>
      <c r="J485" t="s">
        <v>21</v>
      </c>
      <c r="K485" t="s">
        <v>22</v>
      </c>
      <c r="L485">
        <v>1576130400</v>
      </c>
      <c r="M485" s="9">
        <f t="shared" si="30"/>
        <v>43811.25</v>
      </c>
      <c r="N485">
        <v>1576735200</v>
      </c>
      <c r="O485" s="9">
        <f t="shared" si="31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_xlfn.TEXTSPLIT(R485,"/")</f>
        <v>theater</v>
      </c>
      <c r="T485" t="str">
        <v>plays</v>
      </c>
    </row>
    <row r="486" spans="1:20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28"/>
        <v>2.6021000000000001</v>
      </c>
      <c r="G486" t="s">
        <v>20</v>
      </c>
      <c r="H486">
        <v>1572</v>
      </c>
      <c r="I486" s="5">
        <f t="shared" si="29"/>
        <v>49</v>
      </c>
      <c r="J486" t="s">
        <v>40</v>
      </c>
      <c r="K486" t="s">
        <v>41</v>
      </c>
      <c r="L486">
        <v>1407128400</v>
      </c>
      <c r="M486" s="9">
        <f t="shared" si="30"/>
        <v>41855.208333333336</v>
      </c>
      <c r="N486">
        <v>1411362000</v>
      </c>
      <c r="O486" s="9">
        <f t="shared" si="31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_xlfn.TEXTSPLIT(R486,"/")</f>
        <v>food</v>
      </c>
      <c r="T486" t="str">
        <v>food trucks</v>
      </c>
    </row>
    <row r="487" spans="1:20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28"/>
        <v>0.30730000000000002</v>
      </c>
      <c r="G487" t="s">
        <v>14</v>
      </c>
      <c r="H487">
        <v>648</v>
      </c>
      <c r="I487" s="5">
        <f t="shared" si="29"/>
        <v>42.97</v>
      </c>
      <c r="J487" t="s">
        <v>40</v>
      </c>
      <c r="K487" t="s">
        <v>41</v>
      </c>
      <c r="L487">
        <v>1560142800</v>
      </c>
      <c r="M487" s="9">
        <f t="shared" si="30"/>
        <v>43626.208333333328</v>
      </c>
      <c r="N487">
        <v>1563685200</v>
      </c>
      <c r="O487" s="9">
        <f t="shared" si="31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_xlfn.TEXTSPLIT(R487,"/")</f>
        <v>theater</v>
      </c>
      <c r="T487" t="str">
        <v>plays</v>
      </c>
    </row>
    <row r="488" spans="1:20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28"/>
        <v>0.13500000000000001</v>
      </c>
      <c r="G488" t="s">
        <v>14</v>
      </c>
      <c r="H488">
        <v>21</v>
      </c>
      <c r="I488" s="5">
        <f t="shared" si="29"/>
        <v>33.43</v>
      </c>
      <c r="J488" t="s">
        <v>40</v>
      </c>
      <c r="K488" t="s">
        <v>41</v>
      </c>
      <c r="L488">
        <v>1520575200</v>
      </c>
      <c r="M488" s="9">
        <f t="shared" si="30"/>
        <v>43168.25</v>
      </c>
      <c r="N488">
        <v>1521867600</v>
      </c>
      <c r="O488" s="9">
        <f t="shared" si="31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_xlfn.TEXTSPLIT(R488,"/")</f>
        <v>publishing</v>
      </c>
      <c r="T488" t="str">
        <v>translations</v>
      </c>
    </row>
    <row r="489" spans="1:20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28"/>
        <v>1.7863</v>
      </c>
      <c r="G489" t="s">
        <v>20</v>
      </c>
      <c r="H489">
        <v>2346</v>
      </c>
      <c r="I489" s="5">
        <f t="shared" si="29"/>
        <v>83.98</v>
      </c>
      <c r="J489" t="s">
        <v>21</v>
      </c>
      <c r="K489" t="s">
        <v>22</v>
      </c>
      <c r="L489">
        <v>1492664400</v>
      </c>
      <c r="M489" s="9">
        <f t="shared" si="30"/>
        <v>42845.208333333328</v>
      </c>
      <c r="N489">
        <v>1495515600</v>
      </c>
      <c r="O489" s="9">
        <f t="shared" si="31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_xlfn.TEXTSPLIT(R489,"/")</f>
        <v>theater</v>
      </c>
      <c r="T489" t="str">
        <v>plays</v>
      </c>
    </row>
    <row r="490" spans="1:20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28"/>
        <v>2.2006000000000001</v>
      </c>
      <c r="G490" t="s">
        <v>20</v>
      </c>
      <c r="H490">
        <v>115</v>
      </c>
      <c r="I490" s="5">
        <f t="shared" si="29"/>
        <v>101.42</v>
      </c>
      <c r="J490" t="s">
        <v>21</v>
      </c>
      <c r="K490" t="s">
        <v>22</v>
      </c>
      <c r="L490">
        <v>1454479200</v>
      </c>
      <c r="M490" s="9">
        <f t="shared" si="30"/>
        <v>42403.25</v>
      </c>
      <c r="N490">
        <v>1455948000</v>
      </c>
      <c r="O490" s="9">
        <f t="shared" si="31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_xlfn.TEXTSPLIT(R490,"/")</f>
        <v>theater</v>
      </c>
      <c r="T490" t="str">
        <v>plays</v>
      </c>
    </row>
    <row r="491" spans="1:20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28"/>
        <v>1.0150999999999999</v>
      </c>
      <c r="G491" t="s">
        <v>20</v>
      </c>
      <c r="H491">
        <v>85</v>
      </c>
      <c r="I491" s="5">
        <f t="shared" si="29"/>
        <v>109.87</v>
      </c>
      <c r="J491" t="s">
        <v>107</v>
      </c>
      <c r="K491" t="s">
        <v>108</v>
      </c>
      <c r="L491">
        <v>1281934800</v>
      </c>
      <c r="M491" s="9">
        <f t="shared" si="30"/>
        <v>40406.208333333336</v>
      </c>
      <c r="N491">
        <v>1282366800</v>
      </c>
      <c r="O491" s="9">
        <f t="shared" si="31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_xlfn.TEXTSPLIT(R491,"/")</f>
        <v>technology</v>
      </c>
      <c r="T491" t="str">
        <v>wearables</v>
      </c>
    </row>
    <row r="492" spans="1:20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28"/>
        <v>1.915</v>
      </c>
      <c r="G492" t="s">
        <v>20</v>
      </c>
      <c r="H492">
        <v>144</v>
      </c>
      <c r="I492" s="5">
        <f t="shared" si="29"/>
        <v>31.92</v>
      </c>
      <c r="J492" t="s">
        <v>21</v>
      </c>
      <c r="K492" t="s">
        <v>22</v>
      </c>
      <c r="L492">
        <v>1573970400</v>
      </c>
      <c r="M492" s="9">
        <f t="shared" si="30"/>
        <v>43786.25</v>
      </c>
      <c r="N492">
        <v>1574575200</v>
      </c>
      <c r="O492" s="9">
        <f t="shared" si="31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_xlfn.TEXTSPLIT(R492,"/")</f>
        <v>journalism</v>
      </c>
      <c r="T492" t="str">
        <v>audio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28"/>
        <v>3.0535000000000001</v>
      </c>
      <c r="G493" t="s">
        <v>20</v>
      </c>
      <c r="H493">
        <v>2443</v>
      </c>
      <c r="I493" s="5">
        <f t="shared" si="29"/>
        <v>70.989999999999995</v>
      </c>
      <c r="J493" t="s">
        <v>21</v>
      </c>
      <c r="K493" t="s">
        <v>22</v>
      </c>
      <c r="L493">
        <v>1372654800</v>
      </c>
      <c r="M493" s="9">
        <f t="shared" si="30"/>
        <v>41456.208333333336</v>
      </c>
      <c r="N493">
        <v>1374901200</v>
      </c>
      <c r="O493" s="9">
        <f t="shared" si="31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_xlfn.TEXTSPLIT(R493,"/")</f>
        <v>food</v>
      </c>
      <c r="T493" t="str">
        <v>food trucks</v>
      </c>
    </row>
    <row r="494" spans="1:20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28"/>
        <v>0.24</v>
      </c>
      <c r="G494" t="s">
        <v>74</v>
      </c>
      <c r="H494">
        <v>595</v>
      </c>
      <c r="I494" s="5">
        <f t="shared" si="29"/>
        <v>77.03</v>
      </c>
      <c r="J494" t="s">
        <v>21</v>
      </c>
      <c r="K494" t="s">
        <v>22</v>
      </c>
      <c r="L494">
        <v>1275886800</v>
      </c>
      <c r="M494" s="9">
        <f t="shared" si="30"/>
        <v>40336.208333333336</v>
      </c>
      <c r="N494">
        <v>1278910800</v>
      </c>
      <c r="O494" s="9">
        <f t="shared" si="31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_xlfn.TEXTSPLIT(R494,"/")</f>
        <v>film &amp; video</v>
      </c>
      <c r="T494" t="str">
        <v>shorts</v>
      </c>
    </row>
    <row r="495" spans="1:20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28"/>
        <v>7.2378</v>
      </c>
      <c r="G495" t="s">
        <v>20</v>
      </c>
      <c r="H495">
        <v>64</v>
      </c>
      <c r="I495" s="5">
        <f t="shared" si="29"/>
        <v>101.78</v>
      </c>
      <c r="J495" t="s">
        <v>21</v>
      </c>
      <c r="K495" t="s">
        <v>22</v>
      </c>
      <c r="L495">
        <v>1561784400</v>
      </c>
      <c r="M495" s="9">
        <f t="shared" si="30"/>
        <v>43645.208333333328</v>
      </c>
      <c r="N495">
        <v>1562907600</v>
      </c>
      <c r="O495" s="9">
        <f t="shared" si="31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_xlfn.TEXTSPLIT(R495,"/")</f>
        <v>photography</v>
      </c>
      <c r="T495" t="str">
        <v>photography books</v>
      </c>
    </row>
    <row r="496" spans="1:20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28"/>
        <v>5.4736000000000002</v>
      </c>
      <c r="G496" t="s">
        <v>20</v>
      </c>
      <c r="H496">
        <v>268</v>
      </c>
      <c r="I496" s="5">
        <f t="shared" si="29"/>
        <v>51.06</v>
      </c>
      <c r="J496" t="s">
        <v>21</v>
      </c>
      <c r="K496" t="s">
        <v>22</v>
      </c>
      <c r="L496">
        <v>1332392400</v>
      </c>
      <c r="M496" s="9">
        <f t="shared" si="30"/>
        <v>40990.208333333336</v>
      </c>
      <c r="N496">
        <v>1332478800</v>
      </c>
      <c r="O496" s="9">
        <f t="shared" si="31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_xlfn.TEXTSPLIT(R496,"/")</f>
        <v>technology</v>
      </c>
      <c r="T496" t="str">
        <v>wearables</v>
      </c>
    </row>
    <row r="497" spans="1:20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28"/>
        <v>4.1449999999999996</v>
      </c>
      <c r="G497" t="s">
        <v>20</v>
      </c>
      <c r="H497">
        <v>195</v>
      </c>
      <c r="I497" s="5">
        <f t="shared" si="29"/>
        <v>68.02</v>
      </c>
      <c r="J497" t="s">
        <v>36</v>
      </c>
      <c r="K497" t="s">
        <v>37</v>
      </c>
      <c r="L497">
        <v>1402376400</v>
      </c>
      <c r="M497" s="9">
        <f t="shared" si="30"/>
        <v>41800.208333333336</v>
      </c>
      <c r="N497">
        <v>1402722000</v>
      </c>
      <c r="O497" s="9">
        <f t="shared" si="31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_xlfn.TEXTSPLIT(R497,"/")</f>
        <v>theater</v>
      </c>
      <c r="T497" t="str">
        <v>plays</v>
      </c>
    </row>
    <row r="498" spans="1:20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28"/>
        <v>9.1000000000000004E-3</v>
      </c>
      <c r="G498" t="s">
        <v>14</v>
      </c>
      <c r="H498">
        <v>54</v>
      </c>
      <c r="I498" s="5">
        <f t="shared" si="29"/>
        <v>30.87</v>
      </c>
      <c r="J498" t="s">
        <v>21</v>
      </c>
      <c r="K498" t="s">
        <v>22</v>
      </c>
      <c r="L498">
        <v>1495342800</v>
      </c>
      <c r="M498" s="9">
        <f t="shared" si="30"/>
        <v>42876.208333333328</v>
      </c>
      <c r="N498">
        <v>1496811600</v>
      </c>
      <c r="O498" s="9">
        <f t="shared" si="31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_xlfn.TEXTSPLIT(R498,"/")</f>
        <v>film &amp; video</v>
      </c>
      <c r="T498" t="str">
        <v>animation</v>
      </c>
    </row>
    <row r="499" spans="1:20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28"/>
        <v>0.3417</v>
      </c>
      <c r="G499" t="s">
        <v>14</v>
      </c>
      <c r="H499">
        <v>120</v>
      </c>
      <c r="I499" s="5">
        <f t="shared" si="29"/>
        <v>27.91</v>
      </c>
      <c r="J499" t="s">
        <v>21</v>
      </c>
      <c r="K499" t="s">
        <v>22</v>
      </c>
      <c r="L499">
        <v>1482213600</v>
      </c>
      <c r="M499" s="9">
        <f t="shared" si="30"/>
        <v>42724.25</v>
      </c>
      <c r="N499">
        <v>1482213600</v>
      </c>
      <c r="O499" s="9">
        <f t="shared" si="31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_xlfn.TEXTSPLIT(R499,"/")</f>
        <v>technology</v>
      </c>
      <c r="T499" t="str">
        <v>wearables</v>
      </c>
    </row>
    <row r="500" spans="1:20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28"/>
        <v>0.23949999999999999</v>
      </c>
      <c r="G500" t="s">
        <v>14</v>
      </c>
      <c r="H500">
        <v>579</v>
      </c>
      <c r="I500" s="5">
        <f t="shared" si="29"/>
        <v>79.989999999999995</v>
      </c>
      <c r="J500" t="s">
        <v>36</v>
      </c>
      <c r="K500" t="s">
        <v>37</v>
      </c>
      <c r="L500">
        <v>1420092000</v>
      </c>
      <c r="M500" s="9">
        <f t="shared" si="30"/>
        <v>42005.25</v>
      </c>
      <c r="N500">
        <v>1420264800</v>
      </c>
      <c r="O500" s="9">
        <f t="shared" si="31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_xlfn.TEXTSPLIT(R500,"/")</f>
        <v>technology</v>
      </c>
      <c r="T500" t="str">
        <v>web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28"/>
        <v>0.48070000000000002</v>
      </c>
      <c r="G501" t="s">
        <v>14</v>
      </c>
      <c r="H501">
        <v>2072</v>
      </c>
      <c r="I501" s="5">
        <f t="shared" si="29"/>
        <v>38</v>
      </c>
      <c r="J501" t="s">
        <v>21</v>
      </c>
      <c r="K501" t="s">
        <v>22</v>
      </c>
      <c r="L501">
        <v>1458018000</v>
      </c>
      <c r="M501" s="9">
        <f t="shared" si="30"/>
        <v>42444.208333333328</v>
      </c>
      <c r="N501">
        <v>1458450000</v>
      </c>
      <c r="O501" s="9">
        <f t="shared" si="31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_xlfn.TEXTSPLIT(R501,"/")</f>
        <v>film &amp; video</v>
      </c>
      <c r="T501" t="str">
        <v>documentary</v>
      </c>
    </row>
    <row r="502" spans="1:20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28"/>
        <v>0</v>
      </c>
      <c r="G502" t="s">
        <v>14</v>
      </c>
      <c r="H502">
        <v>0</v>
      </c>
      <c r="I502" s="5" t="str">
        <f t="shared" si="29"/>
        <v>0</v>
      </c>
      <c r="J502" t="s">
        <v>21</v>
      </c>
      <c r="K502" t="s">
        <v>22</v>
      </c>
      <c r="L502">
        <v>1367384400</v>
      </c>
      <c r="M502" s="9">
        <f t="shared" si="30"/>
        <v>41395.208333333336</v>
      </c>
      <c r="N502">
        <v>1369803600</v>
      </c>
      <c r="O502" s="9">
        <f t="shared" si="31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_xlfn.TEXTSPLIT(R502,"/")</f>
        <v>theater</v>
      </c>
      <c r="T502" t="str">
        <v>plays</v>
      </c>
    </row>
    <row r="503" spans="1:20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28"/>
        <v>0.70150000000000001</v>
      </c>
      <c r="G503" t="s">
        <v>14</v>
      </c>
      <c r="H503">
        <v>1796</v>
      </c>
      <c r="I503" s="5">
        <f t="shared" si="29"/>
        <v>59.99</v>
      </c>
      <c r="J503" t="s">
        <v>21</v>
      </c>
      <c r="K503" t="s">
        <v>22</v>
      </c>
      <c r="L503">
        <v>1363064400</v>
      </c>
      <c r="M503" s="9">
        <f t="shared" si="30"/>
        <v>41345.208333333336</v>
      </c>
      <c r="N503">
        <v>1363237200</v>
      </c>
      <c r="O503" s="9">
        <f t="shared" si="31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_xlfn.TEXTSPLIT(R503,"/")</f>
        <v>film &amp; video</v>
      </c>
      <c r="T503" t="str">
        <v>documentary</v>
      </c>
    </row>
    <row r="504" spans="1:20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28"/>
        <v>5.2991999999999999</v>
      </c>
      <c r="G504" t="s">
        <v>20</v>
      </c>
      <c r="H504">
        <v>186</v>
      </c>
      <c r="I504" s="5">
        <f t="shared" si="29"/>
        <v>37.04</v>
      </c>
      <c r="J504" t="s">
        <v>26</v>
      </c>
      <c r="K504" t="s">
        <v>27</v>
      </c>
      <c r="L504">
        <v>1343365200</v>
      </c>
      <c r="M504" s="9">
        <f t="shared" si="30"/>
        <v>41117.208333333336</v>
      </c>
      <c r="N504">
        <v>1345870800</v>
      </c>
      <c r="O504" s="9">
        <f t="shared" si="31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_xlfn.TEXTSPLIT(R504,"/")</f>
        <v>games</v>
      </c>
      <c r="T504" t="str">
        <v>video games</v>
      </c>
    </row>
    <row r="505" spans="1:20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28"/>
        <v>1.8032999999999999</v>
      </c>
      <c r="G505" t="s">
        <v>20</v>
      </c>
      <c r="H505">
        <v>460</v>
      </c>
      <c r="I505" s="5">
        <f t="shared" si="29"/>
        <v>99.96</v>
      </c>
      <c r="J505" t="s">
        <v>21</v>
      </c>
      <c r="K505" t="s">
        <v>22</v>
      </c>
      <c r="L505">
        <v>1435726800</v>
      </c>
      <c r="M505" s="9">
        <f t="shared" si="30"/>
        <v>42186.208333333328</v>
      </c>
      <c r="N505">
        <v>1437454800</v>
      </c>
      <c r="O505" s="9">
        <f t="shared" si="31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_xlfn.TEXTSPLIT(R505,"/")</f>
        <v>film &amp; video</v>
      </c>
      <c r="T505" t="str">
        <v>drama</v>
      </c>
    </row>
    <row r="506" spans="1:20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28"/>
        <v>0.92320000000000002</v>
      </c>
      <c r="G506" t="s">
        <v>14</v>
      </c>
      <c r="H506">
        <v>62</v>
      </c>
      <c r="I506" s="5">
        <f t="shared" si="29"/>
        <v>111.68</v>
      </c>
      <c r="J506" t="s">
        <v>107</v>
      </c>
      <c r="K506" t="s">
        <v>108</v>
      </c>
      <c r="L506">
        <v>1431925200</v>
      </c>
      <c r="M506" s="9">
        <f t="shared" si="30"/>
        <v>42142.208333333328</v>
      </c>
      <c r="N506">
        <v>1432011600</v>
      </c>
      <c r="O506" s="9">
        <f t="shared" si="31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_xlfn.TEXTSPLIT(R506,"/")</f>
        <v>music</v>
      </c>
      <c r="T506" t="str">
        <v>rock</v>
      </c>
    </row>
    <row r="507" spans="1:20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28"/>
        <v>0.13900000000000001</v>
      </c>
      <c r="G507" t="s">
        <v>14</v>
      </c>
      <c r="H507">
        <v>347</v>
      </c>
      <c r="I507" s="5">
        <f t="shared" si="29"/>
        <v>36.01</v>
      </c>
      <c r="J507" t="s">
        <v>21</v>
      </c>
      <c r="K507" t="s">
        <v>22</v>
      </c>
      <c r="L507">
        <v>1362722400</v>
      </c>
      <c r="M507" s="9">
        <f t="shared" si="30"/>
        <v>41341.25</v>
      </c>
      <c r="N507">
        <v>1366347600</v>
      </c>
      <c r="O507" s="9">
        <f t="shared" si="31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_xlfn.TEXTSPLIT(R507,"/")</f>
        <v>publishing</v>
      </c>
      <c r="T507" t="str">
        <v>radio &amp; podcasts</v>
      </c>
    </row>
    <row r="508" spans="1:20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28"/>
        <v>9.2707999999999995</v>
      </c>
      <c r="G508" t="s">
        <v>20</v>
      </c>
      <c r="H508">
        <v>2528</v>
      </c>
      <c r="I508" s="5">
        <f t="shared" si="29"/>
        <v>66.010000000000005</v>
      </c>
      <c r="J508" t="s">
        <v>21</v>
      </c>
      <c r="K508" t="s">
        <v>22</v>
      </c>
      <c r="L508">
        <v>1511416800</v>
      </c>
      <c r="M508" s="9">
        <f t="shared" si="30"/>
        <v>43062.25</v>
      </c>
      <c r="N508">
        <v>1512885600</v>
      </c>
      <c r="O508" s="9">
        <f t="shared" si="31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_xlfn.TEXTSPLIT(R508,"/")</f>
        <v>theater</v>
      </c>
      <c r="T508" t="str">
        <v>plays</v>
      </c>
    </row>
    <row r="509" spans="1:20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28"/>
        <v>0.39860000000000001</v>
      </c>
      <c r="G509" t="s">
        <v>14</v>
      </c>
      <c r="H509">
        <v>19</v>
      </c>
      <c r="I509" s="5">
        <f t="shared" si="29"/>
        <v>44.05</v>
      </c>
      <c r="J509" t="s">
        <v>21</v>
      </c>
      <c r="K509" t="s">
        <v>22</v>
      </c>
      <c r="L509">
        <v>1365483600</v>
      </c>
      <c r="M509" s="9">
        <f t="shared" si="30"/>
        <v>41373.208333333336</v>
      </c>
      <c r="N509">
        <v>1369717200</v>
      </c>
      <c r="O509" s="9">
        <f t="shared" si="31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_xlfn.TEXTSPLIT(R509,"/")</f>
        <v>technology</v>
      </c>
      <c r="T509" t="str">
        <v>web</v>
      </c>
    </row>
    <row r="510" spans="1:20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28"/>
        <v>1.1223000000000001</v>
      </c>
      <c r="G510" t="s">
        <v>20</v>
      </c>
      <c r="H510">
        <v>3657</v>
      </c>
      <c r="I510" s="5">
        <f t="shared" si="29"/>
        <v>53</v>
      </c>
      <c r="J510" t="s">
        <v>21</v>
      </c>
      <c r="K510" t="s">
        <v>22</v>
      </c>
      <c r="L510">
        <v>1532840400</v>
      </c>
      <c r="M510" s="9">
        <f t="shared" si="30"/>
        <v>43310.208333333328</v>
      </c>
      <c r="N510">
        <v>1534654800</v>
      </c>
      <c r="O510" s="9">
        <f t="shared" si="31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_xlfn.TEXTSPLIT(R510,"/")</f>
        <v>theater</v>
      </c>
      <c r="T510" t="str">
        <v>plays</v>
      </c>
    </row>
    <row r="511" spans="1:20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28"/>
        <v>0.70930000000000004</v>
      </c>
      <c r="G511" t="s">
        <v>14</v>
      </c>
      <c r="H511">
        <v>1258</v>
      </c>
      <c r="I511" s="5">
        <f t="shared" si="29"/>
        <v>95</v>
      </c>
      <c r="J511" t="s">
        <v>21</v>
      </c>
      <c r="K511" t="s">
        <v>22</v>
      </c>
      <c r="L511">
        <v>1336194000</v>
      </c>
      <c r="M511" s="9">
        <f t="shared" si="30"/>
        <v>41034.208333333336</v>
      </c>
      <c r="N511">
        <v>1337058000</v>
      </c>
      <c r="O511" s="9">
        <f t="shared" si="31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_xlfn.TEXTSPLIT(R511,"/")</f>
        <v>theater</v>
      </c>
      <c r="T511" t="str">
        <v>plays</v>
      </c>
    </row>
    <row r="512" spans="1:20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28"/>
        <v>1.1909000000000001</v>
      </c>
      <c r="G512" t="s">
        <v>20</v>
      </c>
      <c r="H512">
        <v>131</v>
      </c>
      <c r="I512" s="5">
        <f t="shared" si="29"/>
        <v>70.91</v>
      </c>
      <c r="J512" t="s">
        <v>26</v>
      </c>
      <c r="K512" t="s">
        <v>27</v>
      </c>
      <c r="L512">
        <v>1527742800</v>
      </c>
      <c r="M512" s="9">
        <f t="shared" si="30"/>
        <v>43251.208333333328</v>
      </c>
      <c r="N512">
        <v>1529816400</v>
      </c>
      <c r="O512" s="9">
        <f t="shared" si="31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_xlfn.TEXTSPLIT(R512,"/")</f>
        <v>film &amp; video</v>
      </c>
      <c r="T512" t="str">
        <v>drama</v>
      </c>
    </row>
    <row r="513" spans="1:20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28"/>
        <v>0.2402</v>
      </c>
      <c r="G513" t="s">
        <v>14</v>
      </c>
      <c r="H513">
        <v>362</v>
      </c>
      <c r="I513" s="5">
        <f t="shared" si="29"/>
        <v>98.06</v>
      </c>
      <c r="J513" t="s">
        <v>21</v>
      </c>
      <c r="K513" t="s">
        <v>22</v>
      </c>
      <c r="L513">
        <v>1564030800</v>
      </c>
      <c r="M513" s="9">
        <f t="shared" si="30"/>
        <v>43671.208333333328</v>
      </c>
      <c r="N513">
        <v>1564894800</v>
      </c>
      <c r="O513" s="9">
        <f t="shared" si="31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_xlfn.TEXTSPLIT(R513,"/")</f>
        <v>theater</v>
      </c>
      <c r="T513" t="str">
        <v>plays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28"/>
        <v>1.3932</v>
      </c>
      <c r="G514" t="s">
        <v>20</v>
      </c>
      <c r="H514">
        <v>239</v>
      </c>
      <c r="I514" s="5">
        <f t="shared" si="29"/>
        <v>53.05</v>
      </c>
      <c r="J514" t="s">
        <v>21</v>
      </c>
      <c r="K514" t="s">
        <v>22</v>
      </c>
      <c r="L514">
        <v>1404536400</v>
      </c>
      <c r="M514" s="9">
        <f t="shared" si="30"/>
        <v>41825.208333333336</v>
      </c>
      <c r="N514">
        <v>1404622800</v>
      </c>
      <c r="O514" s="9">
        <f t="shared" si="31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_xlfn.TEXTSPLIT(R514,"/")</f>
        <v>games</v>
      </c>
      <c r="T514" t="str">
        <v>video games</v>
      </c>
    </row>
    <row r="515" spans="1:20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ref="F515:F578" si="32">ROUND(E515/D515,4)</f>
        <v>0.39279999999999998</v>
      </c>
      <c r="G515" t="s">
        <v>74</v>
      </c>
      <c r="H515">
        <v>35</v>
      </c>
      <c r="I515" s="5">
        <f t="shared" ref="I515:I578" si="33">IF(H515=0,"0",(ROUND(E515/H515,2)))</f>
        <v>93.14</v>
      </c>
      <c r="J515" t="s">
        <v>21</v>
      </c>
      <c r="K515" t="s">
        <v>22</v>
      </c>
      <c r="L515">
        <v>1284008400</v>
      </c>
      <c r="M515" s="9">
        <f t="shared" ref="M515:M578" si="34">(((L515/60)/60)/24)+DATE(1970,1,1)</f>
        <v>40430.208333333336</v>
      </c>
      <c r="N515">
        <v>1284181200</v>
      </c>
      <c r="O515" s="9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_xlfn.TEXTSPLIT(R515,"/")</f>
        <v>film &amp; video</v>
      </c>
      <c r="T515" t="str">
        <v>television</v>
      </c>
    </row>
    <row r="516" spans="1:20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si="32"/>
        <v>0.22439999999999999</v>
      </c>
      <c r="G516" t="s">
        <v>74</v>
      </c>
      <c r="H516">
        <v>528</v>
      </c>
      <c r="I516" s="5">
        <f t="shared" si="33"/>
        <v>58.95</v>
      </c>
      <c r="J516" t="s">
        <v>98</v>
      </c>
      <c r="K516" t="s">
        <v>99</v>
      </c>
      <c r="L516">
        <v>1386309600</v>
      </c>
      <c r="M516" s="9">
        <f t="shared" si="34"/>
        <v>41614.25</v>
      </c>
      <c r="N516">
        <v>1386741600</v>
      </c>
      <c r="O516" s="9">
        <f t="shared" si="35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_xlfn.TEXTSPLIT(R516,"/")</f>
        <v>music</v>
      </c>
      <c r="T516" t="str">
        <v>rock</v>
      </c>
    </row>
    <row r="517" spans="1:20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32"/>
        <v>0.55779999999999996</v>
      </c>
      <c r="G517" t="s">
        <v>14</v>
      </c>
      <c r="H517">
        <v>133</v>
      </c>
      <c r="I517" s="5">
        <f t="shared" si="33"/>
        <v>36.07</v>
      </c>
      <c r="J517" t="s">
        <v>15</v>
      </c>
      <c r="K517" t="s">
        <v>16</v>
      </c>
      <c r="L517">
        <v>1324620000</v>
      </c>
      <c r="M517" s="9">
        <f t="shared" si="34"/>
        <v>40900.25</v>
      </c>
      <c r="N517">
        <v>1324792800</v>
      </c>
      <c r="O517" s="9">
        <f t="shared" si="35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_xlfn.TEXTSPLIT(R517,"/")</f>
        <v>theater</v>
      </c>
      <c r="T517" t="str">
        <v>plays</v>
      </c>
    </row>
    <row r="518" spans="1:20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32"/>
        <v>0.42520000000000002</v>
      </c>
      <c r="G518" t="s">
        <v>14</v>
      </c>
      <c r="H518">
        <v>846</v>
      </c>
      <c r="I518" s="5">
        <f t="shared" si="33"/>
        <v>63.03</v>
      </c>
      <c r="J518" t="s">
        <v>21</v>
      </c>
      <c r="K518" t="s">
        <v>22</v>
      </c>
      <c r="L518">
        <v>1281070800</v>
      </c>
      <c r="M518" s="9">
        <f t="shared" si="34"/>
        <v>40396.208333333336</v>
      </c>
      <c r="N518">
        <v>1284354000</v>
      </c>
      <c r="O518" s="9">
        <f t="shared" si="35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_xlfn.TEXTSPLIT(R518,"/")</f>
        <v>publishing</v>
      </c>
      <c r="T518" t="str">
        <v>nonfiction</v>
      </c>
    </row>
    <row r="519" spans="1:20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32"/>
        <v>1.1200000000000001</v>
      </c>
      <c r="G519" t="s">
        <v>20</v>
      </c>
      <c r="H519">
        <v>78</v>
      </c>
      <c r="I519" s="5">
        <f t="shared" si="33"/>
        <v>84.72</v>
      </c>
      <c r="J519" t="s">
        <v>21</v>
      </c>
      <c r="K519" t="s">
        <v>22</v>
      </c>
      <c r="L519">
        <v>1493960400</v>
      </c>
      <c r="M519" s="9">
        <f t="shared" si="34"/>
        <v>42860.208333333328</v>
      </c>
      <c r="N519">
        <v>1494392400</v>
      </c>
      <c r="O519" s="9">
        <f t="shared" si="35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_xlfn.TEXTSPLIT(R519,"/")</f>
        <v>food</v>
      </c>
      <c r="T519" t="str">
        <v>food trucks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32"/>
        <v>7.0699999999999999E-2</v>
      </c>
      <c r="G520" t="s">
        <v>14</v>
      </c>
      <c r="H520">
        <v>10</v>
      </c>
      <c r="I520" s="5">
        <f t="shared" si="33"/>
        <v>62.2</v>
      </c>
      <c r="J520" t="s">
        <v>21</v>
      </c>
      <c r="K520" t="s">
        <v>22</v>
      </c>
      <c r="L520">
        <v>1519365600</v>
      </c>
      <c r="M520" s="9">
        <f t="shared" si="34"/>
        <v>43154.25</v>
      </c>
      <c r="N520">
        <v>1519538400</v>
      </c>
      <c r="O520" s="9">
        <f t="shared" si="35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_xlfn.TEXTSPLIT(R520,"/")</f>
        <v>film &amp; video</v>
      </c>
      <c r="T520" t="str">
        <v>animation</v>
      </c>
    </row>
    <row r="521" spans="1:20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32"/>
        <v>1.0175000000000001</v>
      </c>
      <c r="G521" t="s">
        <v>20</v>
      </c>
      <c r="H521">
        <v>1773</v>
      </c>
      <c r="I521" s="5">
        <f t="shared" si="33"/>
        <v>101.98</v>
      </c>
      <c r="J521" t="s">
        <v>21</v>
      </c>
      <c r="K521" t="s">
        <v>22</v>
      </c>
      <c r="L521">
        <v>1420696800</v>
      </c>
      <c r="M521" s="9">
        <f t="shared" si="34"/>
        <v>42012.25</v>
      </c>
      <c r="N521">
        <v>1421906400</v>
      </c>
      <c r="O521" s="9">
        <f t="shared" si="35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_xlfn.TEXTSPLIT(R521,"/")</f>
        <v>music</v>
      </c>
      <c r="T521" t="str">
        <v>rock</v>
      </c>
    </row>
    <row r="522" spans="1:20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32"/>
        <v>4.2575000000000003</v>
      </c>
      <c r="G522" t="s">
        <v>20</v>
      </c>
      <c r="H522">
        <v>32</v>
      </c>
      <c r="I522" s="5">
        <f t="shared" si="33"/>
        <v>106.44</v>
      </c>
      <c r="J522" t="s">
        <v>21</v>
      </c>
      <c r="K522" t="s">
        <v>22</v>
      </c>
      <c r="L522">
        <v>1555650000</v>
      </c>
      <c r="M522" s="9">
        <f t="shared" si="34"/>
        <v>43574.208333333328</v>
      </c>
      <c r="N522">
        <v>1555909200</v>
      </c>
      <c r="O522" s="9">
        <f t="shared" si="35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_xlfn.TEXTSPLIT(R522,"/")</f>
        <v>theater</v>
      </c>
      <c r="T522" t="str">
        <v>plays</v>
      </c>
    </row>
    <row r="523" spans="1:20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32"/>
        <v>1.4554</v>
      </c>
      <c r="G523" t="s">
        <v>20</v>
      </c>
      <c r="H523">
        <v>369</v>
      </c>
      <c r="I523" s="5">
        <f t="shared" si="33"/>
        <v>29.98</v>
      </c>
      <c r="J523" t="s">
        <v>21</v>
      </c>
      <c r="K523" t="s">
        <v>22</v>
      </c>
      <c r="L523">
        <v>1471928400</v>
      </c>
      <c r="M523" s="9">
        <f t="shared" si="34"/>
        <v>42605.208333333328</v>
      </c>
      <c r="N523">
        <v>1472446800</v>
      </c>
      <c r="O523" s="9">
        <f t="shared" si="35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_xlfn.TEXTSPLIT(R523,"/")</f>
        <v>film &amp; video</v>
      </c>
      <c r="T523" t="str">
        <v>drama</v>
      </c>
    </row>
    <row r="524" spans="1:20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32"/>
        <v>0.32450000000000001</v>
      </c>
      <c r="G524" t="s">
        <v>14</v>
      </c>
      <c r="H524">
        <v>191</v>
      </c>
      <c r="I524" s="5">
        <f t="shared" si="33"/>
        <v>85.81</v>
      </c>
      <c r="J524" t="s">
        <v>21</v>
      </c>
      <c r="K524" t="s">
        <v>22</v>
      </c>
      <c r="L524">
        <v>1341291600</v>
      </c>
      <c r="M524" s="9">
        <f t="shared" si="34"/>
        <v>41093.208333333336</v>
      </c>
      <c r="N524">
        <v>1342328400</v>
      </c>
      <c r="O524" s="9">
        <f t="shared" si="35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_xlfn.TEXTSPLIT(R524,"/")</f>
        <v>film &amp; video</v>
      </c>
      <c r="T524" t="str">
        <v>shorts</v>
      </c>
    </row>
    <row r="525" spans="1:20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32"/>
        <v>7.0033000000000003</v>
      </c>
      <c r="G525" t="s">
        <v>20</v>
      </c>
      <c r="H525">
        <v>89</v>
      </c>
      <c r="I525" s="5">
        <f t="shared" si="33"/>
        <v>70.819999999999993</v>
      </c>
      <c r="J525" t="s">
        <v>21</v>
      </c>
      <c r="K525" t="s">
        <v>22</v>
      </c>
      <c r="L525">
        <v>1267682400</v>
      </c>
      <c r="M525" s="9">
        <f t="shared" si="34"/>
        <v>40241.25</v>
      </c>
      <c r="N525">
        <v>1268114400</v>
      </c>
      <c r="O525" s="9">
        <f t="shared" si="35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_xlfn.TEXTSPLIT(R525,"/")</f>
        <v>film &amp; video</v>
      </c>
      <c r="T525" t="str">
        <v>shorts</v>
      </c>
    </row>
    <row r="526" spans="1:20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32"/>
        <v>0.83899999999999997</v>
      </c>
      <c r="G526" t="s">
        <v>14</v>
      </c>
      <c r="H526">
        <v>1979</v>
      </c>
      <c r="I526" s="5">
        <f t="shared" si="33"/>
        <v>41</v>
      </c>
      <c r="J526" t="s">
        <v>21</v>
      </c>
      <c r="K526" t="s">
        <v>22</v>
      </c>
      <c r="L526">
        <v>1272258000</v>
      </c>
      <c r="M526" s="9">
        <f t="shared" si="34"/>
        <v>40294.208333333336</v>
      </c>
      <c r="N526">
        <v>1273381200</v>
      </c>
      <c r="O526" s="9">
        <f t="shared" si="35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_xlfn.TEXTSPLIT(R526,"/")</f>
        <v>theater</v>
      </c>
      <c r="T526" t="str">
        <v>plays</v>
      </c>
    </row>
    <row r="527" spans="1:20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32"/>
        <v>0.84189999999999998</v>
      </c>
      <c r="G527" t="s">
        <v>14</v>
      </c>
      <c r="H527">
        <v>63</v>
      </c>
      <c r="I527" s="5">
        <f t="shared" si="33"/>
        <v>28.06</v>
      </c>
      <c r="J527" t="s">
        <v>21</v>
      </c>
      <c r="K527" t="s">
        <v>22</v>
      </c>
      <c r="L527">
        <v>1290492000</v>
      </c>
      <c r="M527" s="9">
        <f t="shared" si="34"/>
        <v>40505.25</v>
      </c>
      <c r="N527">
        <v>1290837600</v>
      </c>
      <c r="O527" s="9">
        <f t="shared" si="35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_xlfn.TEXTSPLIT(R527,"/")</f>
        <v>technology</v>
      </c>
      <c r="T527" t="str">
        <v>wearables</v>
      </c>
    </row>
    <row r="528" spans="1:20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32"/>
        <v>1.5595000000000001</v>
      </c>
      <c r="G528" t="s">
        <v>20</v>
      </c>
      <c r="H528">
        <v>147</v>
      </c>
      <c r="I528" s="5">
        <f t="shared" si="33"/>
        <v>88.05</v>
      </c>
      <c r="J528" t="s">
        <v>21</v>
      </c>
      <c r="K528" t="s">
        <v>22</v>
      </c>
      <c r="L528">
        <v>1451109600</v>
      </c>
      <c r="M528" s="9">
        <f t="shared" si="34"/>
        <v>42364.25</v>
      </c>
      <c r="N528">
        <v>1454306400</v>
      </c>
      <c r="O528" s="9">
        <f t="shared" si="35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_xlfn.TEXTSPLIT(R528,"/")</f>
        <v>theater</v>
      </c>
      <c r="T528" t="str">
        <v>plays</v>
      </c>
    </row>
    <row r="529" spans="1:20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32"/>
        <v>0.99619999999999997</v>
      </c>
      <c r="G529" t="s">
        <v>14</v>
      </c>
      <c r="H529">
        <v>6080</v>
      </c>
      <c r="I529" s="5">
        <f t="shared" si="33"/>
        <v>31</v>
      </c>
      <c r="J529" t="s">
        <v>15</v>
      </c>
      <c r="K529" t="s">
        <v>16</v>
      </c>
      <c r="L529">
        <v>1454652000</v>
      </c>
      <c r="M529" s="9">
        <f t="shared" si="34"/>
        <v>42405.25</v>
      </c>
      <c r="N529">
        <v>1457762400</v>
      </c>
      <c r="O529" s="9">
        <f t="shared" si="35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_xlfn.TEXTSPLIT(R529,"/")</f>
        <v>film &amp; video</v>
      </c>
      <c r="T529" t="str">
        <v>animation</v>
      </c>
    </row>
    <row r="530" spans="1:20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32"/>
        <v>0.80300000000000005</v>
      </c>
      <c r="G530" t="s">
        <v>14</v>
      </c>
      <c r="H530">
        <v>80</v>
      </c>
      <c r="I530" s="5">
        <f t="shared" si="33"/>
        <v>90.34</v>
      </c>
      <c r="J530" t="s">
        <v>40</v>
      </c>
      <c r="K530" t="s">
        <v>41</v>
      </c>
      <c r="L530">
        <v>1385186400</v>
      </c>
      <c r="M530" s="9">
        <f t="shared" si="34"/>
        <v>41601.25</v>
      </c>
      <c r="N530">
        <v>1389074400</v>
      </c>
      <c r="O530" s="9">
        <f t="shared" si="35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_xlfn.TEXTSPLIT(R530,"/")</f>
        <v>music</v>
      </c>
      <c r="T530" t="str">
        <v>indie rock</v>
      </c>
    </row>
    <row r="531" spans="1:20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32"/>
        <v>0.1125</v>
      </c>
      <c r="G531" t="s">
        <v>14</v>
      </c>
      <c r="H531">
        <v>9</v>
      </c>
      <c r="I531" s="5">
        <f t="shared" si="33"/>
        <v>63.78</v>
      </c>
      <c r="J531" t="s">
        <v>21</v>
      </c>
      <c r="K531" t="s">
        <v>22</v>
      </c>
      <c r="L531">
        <v>1399698000</v>
      </c>
      <c r="M531" s="9">
        <f t="shared" si="34"/>
        <v>41769.208333333336</v>
      </c>
      <c r="N531">
        <v>1402117200</v>
      </c>
      <c r="O531" s="9">
        <f t="shared" si="35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_xlfn.TEXTSPLIT(R531,"/")</f>
        <v>games</v>
      </c>
      <c r="T531" t="str">
        <v>video games</v>
      </c>
    </row>
    <row r="532" spans="1:20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32"/>
        <v>0.91739999999999999</v>
      </c>
      <c r="G532" t="s">
        <v>14</v>
      </c>
      <c r="H532">
        <v>1784</v>
      </c>
      <c r="I532" s="5">
        <f t="shared" si="33"/>
        <v>54</v>
      </c>
      <c r="J532" t="s">
        <v>21</v>
      </c>
      <c r="K532" t="s">
        <v>22</v>
      </c>
      <c r="L532">
        <v>1283230800</v>
      </c>
      <c r="M532" s="9">
        <f t="shared" si="34"/>
        <v>40421.208333333336</v>
      </c>
      <c r="N532">
        <v>1284440400</v>
      </c>
      <c r="O532" s="9">
        <f t="shared" si="35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_xlfn.TEXTSPLIT(R532,"/")</f>
        <v>publishing</v>
      </c>
      <c r="T532" t="str">
        <v>fiction</v>
      </c>
    </row>
    <row r="533" spans="1:20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32"/>
        <v>0.95520000000000005</v>
      </c>
      <c r="G533" t="s">
        <v>47</v>
      </c>
      <c r="H533">
        <v>3640</v>
      </c>
      <c r="I533" s="5">
        <f t="shared" si="33"/>
        <v>48.99</v>
      </c>
      <c r="J533" t="s">
        <v>98</v>
      </c>
      <c r="K533" t="s">
        <v>99</v>
      </c>
      <c r="L533">
        <v>1384149600</v>
      </c>
      <c r="M533" s="9">
        <f t="shared" si="34"/>
        <v>41589.25</v>
      </c>
      <c r="N533">
        <v>1388988000</v>
      </c>
      <c r="O533" s="9">
        <f t="shared" si="35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_xlfn.TEXTSPLIT(R533,"/")</f>
        <v>games</v>
      </c>
      <c r="T533" t="str">
        <v>video games</v>
      </c>
    </row>
    <row r="534" spans="1:20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32"/>
        <v>5.0288000000000004</v>
      </c>
      <c r="G534" t="s">
        <v>20</v>
      </c>
      <c r="H534">
        <v>126</v>
      </c>
      <c r="I534" s="5">
        <f t="shared" si="33"/>
        <v>63.86</v>
      </c>
      <c r="J534" t="s">
        <v>15</v>
      </c>
      <c r="K534" t="s">
        <v>16</v>
      </c>
      <c r="L534">
        <v>1516860000</v>
      </c>
      <c r="M534" s="9">
        <f t="shared" si="34"/>
        <v>43125.25</v>
      </c>
      <c r="N534">
        <v>1516946400</v>
      </c>
      <c r="O534" s="9">
        <f t="shared" si="35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_xlfn.TEXTSPLIT(R534,"/")</f>
        <v>theater</v>
      </c>
      <c r="T534" t="str">
        <v>plays</v>
      </c>
    </row>
    <row r="535" spans="1:20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32"/>
        <v>1.5924</v>
      </c>
      <c r="G535" t="s">
        <v>20</v>
      </c>
      <c r="H535">
        <v>2218</v>
      </c>
      <c r="I535" s="5">
        <f t="shared" si="33"/>
        <v>83</v>
      </c>
      <c r="J535" t="s">
        <v>40</v>
      </c>
      <c r="K535" t="s">
        <v>41</v>
      </c>
      <c r="L535">
        <v>1374642000</v>
      </c>
      <c r="M535" s="9">
        <f t="shared" si="34"/>
        <v>41479.208333333336</v>
      </c>
      <c r="N535">
        <v>1377752400</v>
      </c>
      <c r="O535" s="9">
        <f t="shared" si="35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_xlfn.TEXTSPLIT(R535,"/")</f>
        <v>music</v>
      </c>
      <c r="T535" t="str">
        <v>indie rock</v>
      </c>
    </row>
    <row r="536" spans="1:20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32"/>
        <v>0.1502</v>
      </c>
      <c r="G536" t="s">
        <v>14</v>
      </c>
      <c r="H536">
        <v>243</v>
      </c>
      <c r="I536" s="5">
        <f t="shared" si="33"/>
        <v>55.08</v>
      </c>
      <c r="J536" t="s">
        <v>21</v>
      </c>
      <c r="K536" t="s">
        <v>22</v>
      </c>
      <c r="L536">
        <v>1534482000</v>
      </c>
      <c r="M536" s="9">
        <f t="shared" si="34"/>
        <v>43329.208333333328</v>
      </c>
      <c r="N536">
        <v>1534568400</v>
      </c>
      <c r="O536" s="9">
        <f t="shared" si="35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_xlfn.TEXTSPLIT(R536,"/")</f>
        <v>film &amp; video</v>
      </c>
      <c r="T536" t="str">
        <v>drama</v>
      </c>
    </row>
    <row r="537" spans="1:20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32"/>
        <v>4.8204000000000002</v>
      </c>
      <c r="G537" t="s">
        <v>20</v>
      </c>
      <c r="H537">
        <v>202</v>
      </c>
      <c r="I537" s="5">
        <f t="shared" si="33"/>
        <v>62.04</v>
      </c>
      <c r="J537" t="s">
        <v>107</v>
      </c>
      <c r="K537" t="s">
        <v>108</v>
      </c>
      <c r="L537">
        <v>1528434000</v>
      </c>
      <c r="M537" s="9">
        <f t="shared" si="34"/>
        <v>43259.208333333328</v>
      </c>
      <c r="N537">
        <v>1528606800</v>
      </c>
      <c r="O537" s="9">
        <f t="shared" si="35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_xlfn.TEXTSPLIT(R537,"/")</f>
        <v>theater</v>
      </c>
      <c r="T537" t="str">
        <v>plays</v>
      </c>
    </row>
    <row r="538" spans="1:20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32"/>
        <v>1.4997</v>
      </c>
      <c r="G538" t="s">
        <v>20</v>
      </c>
      <c r="H538">
        <v>140</v>
      </c>
      <c r="I538" s="5">
        <f t="shared" si="33"/>
        <v>104.98</v>
      </c>
      <c r="J538" t="s">
        <v>107</v>
      </c>
      <c r="K538" t="s">
        <v>108</v>
      </c>
      <c r="L538">
        <v>1282626000</v>
      </c>
      <c r="M538" s="9">
        <f t="shared" si="34"/>
        <v>40414.208333333336</v>
      </c>
      <c r="N538">
        <v>1284872400</v>
      </c>
      <c r="O538" s="9">
        <f t="shared" si="35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_xlfn.TEXTSPLIT(R538,"/")</f>
        <v>publishing</v>
      </c>
      <c r="T538" t="str">
        <v>fiction</v>
      </c>
    </row>
    <row r="539" spans="1:20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32"/>
        <v>1.1721999999999999</v>
      </c>
      <c r="G539" t="s">
        <v>20</v>
      </c>
      <c r="H539">
        <v>1052</v>
      </c>
      <c r="I539" s="5">
        <f t="shared" si="33"/>
        <v>94.04</v>
      </c>
      <c r="J539" t="s">
        <v>36</v>
      </c>
      <c r="K539" t="s">
        <v>37</v>
      </c>
      <c r="L539">
        <v>1535605200</v>
      </c>
      <c r="M539" s="9">
        <f t="shared" si="34"/>
        <v>43342.208333333328</v>
      </c>
      <c r="N539">
        <v>1537592400</v>
      </c>
      <c r="O539" s="9">
        <f t="shared" si="35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_xlfn.TEXTSPLIT(R539,"/")</f>
        <v>film &amp; video</v>
      </c>
      <c r="T539" t="str">
        <v>documentary</v>
      </c>
    </row>
    <row r="540" spans="1:20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32"/>
        <v>0.377</v>
      </c>
      <c r="G540" t="s">
        <v>14</v>
      </c>
      <c r="H540">
        <v>1296</v>
      </c>
      <c r="I540" s="5">
        <f t="shared" si="33"/>
        <v>44.01</v>
      </c>
      <c r="J540" t="s">
        <v>21</v>
      </c>
      <c r="K540" t="s">
        <v>22</v>
      </c>
      <c r="L540">
        <v>1379826000</v>
      </c>
      <c r="M540" s="9">
        <f t="shared" si="34"/>
        <v>41539.208333333336</v>
      </c>
      <c r="N540">
        <v>1381208400</v>
      </c>
      <c r="O540" s="9">
        <f t="shared" si="35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_xlfn.TEXTSPLIT(R540,"/")</f>
        <v>games</v>
      </c>
      <c r="T540" t="str">
        <v>mobile games</v>
      </c>
    </row>
    <row r="541" spans="1:20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32"/>
        <v>0.72650000000000003</v>
      </c>
      <c r="G541" t="s">
        <v>14</v>
      </c>
      <c r="H541">
        <v>77</v>
      </c>
      <c r="I541" s="5">
        <f t="shared" si="33"/>
        <v>92.47</v>
      </c>
      <c r="J541" t="s">
        <v>21</v>
      </c>
      <c r="K541" t="s">
        <v>22</v>
      </c>
      <c r="L541">
        <v>1561957200</v>
      </c>
      <c r="M541" s="9">
        <f t="shared" si="34"/>
        <v>43647.208333333328</v>
      </c>
      <c r="N541">
        <v>1562475600</v>
      </c>
      <c r="O541" s="9">
        <f t="shared" si="35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_xlfn.TEXTSPLIT(R541,"/")</f>
        <v>food</v>
      </c>
      <c r="T541" t="str">
        <v>food trucks</v>
      </c>
    </row>
    <row r="542" spans="1:20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32"/>
        <v>2.6598000000000002</v>
      </c>
      <c r="G542" t="s">
        <v>20</v>
      </c>
      <c r="H542">
        <v>247</v>
      </c>
      <c r="I542" s="5">
        <f t="shared" si="33"/>
        <v>57.07</v>
      </c>
      <c r="J542" t="s">
        <v>21</v>
      </c>
      <c r="K542" t="s">
        <v>22</v>
      </c>
      <c r="L542">
        <v>1525496400</v>
      </c>
      <c r="M542" s="9">
        <f t="shared" si="34"/>
        <v>43225.208333333328</v>
      </c>
      <c r="N542">
        <v>1527397200</v>
      </c>
      <c r="O542" s="9">
        <f t="shared" si="35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_xlfn.TEXTSPLIT(R542,"/")</f>
        <v>photography</v>
      </c>
      <c r="T542" t="str">
        <v>photography books</v>
      </c>
    </row>
    <row r="543" spans="1:20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32"/>
        <v>0.24210000000000001</v>
      </c>
      <c r="G543" t="s">
        <v>14</v>
      </c>
      <c r="H543">
        <v>395</v>
      </c>
      <c r="I543" s="5">
        <f t="shared" si="33"/>
        <v>109.08</v>
      </c>
      <c r="J543" t="s">
        <v>107</v>
      </c>
      <c r="K543" t="s">
        <v>108</v>
      </c>
      <c r="L543">
        <v>1433912400</v>
      </c>
      <c r="M543" s="9">
        <f t="shared" si="34"/>
        <v>42165.208333333328</v>
      </c>
      <c r="N543">
        <v>1436158800</v>
      </c>
      <c r="O543" s="9">
        <f t="shared" si="35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_xlfn.TEXTSPLIT(R543,"/")</f>
        <v>games</v>
      </c>
      <c r="T543" t="str">
        <v>mobile games</v>
      </c>
    </row>
    <row r="544" spans="1:20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32"/>
        <v>2.5100000000000001E-2</v>
      </c>
      <c r="G544" t="s">
        <v>14</v>
      </c>
      <c r="H544">
        <v>49</v>
      </c>
      <c r="I544" s="5">
        <f t="shared" si="33"/>
        <v>39.39</v>
      </c>
      <c r="J544" t="s">
        <v>40</v>
      </c>
      <c r="K544" t="s">
        <v>41</v>
      </c>
      <c r="L544">
        <v>1453442400</v>
      </c>
      <c r="M544" s="9">
        <f t="shared" si="34"/>
        <v>42391.25</v>
      </c>
      <c r="N544">
        <v>1456034400</v>
      </c>
      <c r="O544" s="9">
        <f t="shared" si="35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_xlfn.TEXTSPLIT(R544,"/")</f>
        <v>music</v>
      </c>
      <c r="T544" t="str">
        <v>indie rock</v>
      </c>
    </row>
    <row r="545" spans="1:20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32"/>
        <v>0.1633</v>
      </c>
      <c r="G545" t="s">
        <v>14</v>
      </c>
      <c r="H545">
        <v>180</v>
      </c>
      <c r="I545" s="5">
        <f t="shared" si="33"/>
        <v>77.02</v>
      </c>
      <c r="J545" t="s">
        <v>21</v>
      </c>
      <c r="K545" t="s">
        <v>22</v>
      </c>
      <c r="L545">
        <v>1378875600</v>
      </c>
      <c r="M545" s="9">
        <f t="shared" si="34"/>
        <v>41528.208333333336</v>
      </c>
      <c r="N545">
        <v>1380171600</v>
      </c>
      <c r="O545" s="9">
        <f t="shared" si="35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_xlfn.TEXTSPLIT(R545,"/")</f>
        <v>games</v>
      </c>
      <c r="T545" t="str">
        <v>video games</v>
      </c>
    </row>
    <row r="546" spans="1:20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32"/>
        <v>2.7650000000000001</v>
      </c>
      <c r="G546" t="s">
        <v>20</v>
      </c>
      <c r="H546">
        <v>84</v>
      </c>
      <c r="I546" s="5">
        <f t="shared" si="33"/>
        <v>92.17</v>
      </c>
      <c r="J546" t="s">
        <v>21</v>
      </c>
      <c r="K546" t="s">
        <v>22</v>
      </c>
      <c r="L546">
        <v>1452232800</v>
      </c>
      <c r="M546" s="9">
        <f t="shared" si="34"/>
        <v>42377.25</v>
      </c>
      <c r="N546">
        <v>1453356000</v>
      </c>
      <c r="O546" s="9">
        <f t="shared" si="35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_xlfn.TEXTSPLIT(R546,"/")</f>
        <v>music</v>
      </c>
      <c r="T546" t="str">
        <v>rock</v>
      </c>
    </row>
    <row r="547" spans="1:20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32"/>
        <v>0.88800000000000001</v>
      </c>
      <c r="G547" t="s">
        <v>14</v>
      </c>
      <c r="H547">
        <v>2690</v>
      </c>
      <c r="I547" s="5">
        <f t="shared" si="33"/>
        <v>61.01</v>
      </c>
      <c r="J547" t="s">
        <v>21</v>
      </c>
      <c r="K547" t="s">
        <v>22</v>
      </c>
      <c r="L547">
        <v>1577253600</v>
      </c>
      <c r="M547" s="9">
        <f t="shared" si="34"/>
        <v>43824.25</v>
      </c>
      <c r="N547">
        <v>1578981600</v>
      </c>
      <c r="O547" s="9">
        <f t="shared" si="35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_xlfn.TEXTSPLIT(R547,"/")</f>
        <v>theater</v>
      </c>
      <c r="T547" t="str">
        <v>plays</v>
      </c>
    </row>
    <row r="548" spans="1:20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32"/>
        <v>1.6356999999999999</v>
      </c>
      <c r="G548" t="s">
        <v>20</v>
      </c>
      <c r="H548">
        <v>88</v>
      </c>
      <c r="I548" s="5">
        <f t="shared" si="33"/>
        <v>78.069999999999993</v>
      </c>
      <c r="J548" t="s">
        <v>21</v>
      </c>
      <c r="K548" t="s">
        <v>22</v>
      </c>
      <c r="L548">
        <v>1537160400</v>
      </c>
      <c r="M548" s="9">
        <f t="shared" si="34"/>
        <v>43360.208333333328</v>
      </c>
      <c r="N548">
        <v>1537419600</v>
      </c>
      <c r="O548" s="9">
        <f t="shared" si="35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_xlfn.TEXTSPLIT(R548,"/")</f>
        <v>theater</v>
      </c>
      <c r="T548" t="str">
        <v>plays</v>
      </c>
    </row>
    <row r="549" spans="1:20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32"/>
        <v>9.69</v>
      </c>
      <c r="G549" t="s">
        <v>20</v>
      </c>
      <c r="H549">
        <v>156</v>
      </c>
      <c r="I549" s="5">
        <f t="shared" si="33"/>
        <v>80.75</v>
      </c>
      <c r="J549" t="s">
        <v>21</v>
      </c>
      <c r="K549" t="s">
        <v>22</v>
      </c>
      <c r="L549">
        <v>1422165600</v>
      </c>
      <c r="M549" s="9">
        <f t="shared" si="34"/>
        <v>42029.25</v>
      </c>
      <c r="N549">
        <v>1423202400</v>
      </c>
      <c r="O549" s="9">
        <f t="shared" si="35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_xlfn.TEXTSPLIT(R549,"/")</f>
        <v>film &amp; video</v>
      </c>
      <c r="T549" t="str">
        <v>drama</v>
      </c>
    </row>
    <row r="550" spans="1:20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32"/>
        <v>2.7090999999999998</v>
      </c>
      <c r="G550" t="s">
        <v>20</v>
      </c>
      <c r="H550">
        <v>2985</v>
      </c>
      <c r="I550" s="5">
        <f t="shared" si="33"/>
        <v>59.99</v>
      </c>
      <c r="J550" t="s">
        <v>21</v>
      </c>
      <c r="K550" t="s">
        <v>22</v>
      </c>
      <c r="L550">
        <v>1459486800</v>
      </c>
      <c r="M550" s="9">
        <f t="shared" si="34"/>
        <v>42461.208333333328</v>
      </c>
      <c r="N550">
        <v>1460610000</v>
      </c>
      <c r="O550" s="9">
        <f t="shared" si="35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_xlfn.TEXTSPLIT(R550,"/")</f>
        <v>theater</v>
      </c>
      <c r="T550" t="str">
        <v>plays</v>
      </c>
    </row>
    <row r="551" spans="1:20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32"/>
        <v>2.8420999999999998</v>
      </c>
      <c r="G551" t="s">
        <v>20</v>
      </c>
      <c r="H551">
        <v>762</v>
      </c>
      <c r="I551" s="5">
        <f t="shared" si="33"/>
        <v>110.03</v>
      </c>
      <c r="J551" t="s">
        <v>21</v>
      </c>
      <c r="K551" t="s">
        <v>22</v>
      </c>
      <c r="L551">
        <v>1369717200</v>
      </c>
      <c r="M551" s="9">
        <f t="shared" si="34"/>
        <v>41422.208333333336</v>
      </c>
      <c r="N551">
        <v>1370494800</v>
      </c>
      <c r="O551" s="9">
        <f t="shared" si="35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_xlfn.TEXTSPLIT(R551,"/")</f>
        <v>technology</v>
      </c>
      <c r="T551" t="str">
        <v>wearables</v>
      </c>
    </row>
    <row r="552" spans="1:20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32"/>
        <v>0.04</v>
      </c>
      <c r="G552" t="s">
        <v>74</v>
      </c>
      <c r="H552">
        <v>1</v>
      </c>
      <c r="I552" s="5">
        <f t="shared" si="33"/>
        <v>4</v>
      </c>
      <c r="J552" t="s">
        <v>98</v>
      </c>
      <c r="K552" t="s">
        <v>99</v>
      </c>
      <c r="L552">
        <v>1330495200</v>
      </c>
      <c r="M552" s="9">
        <f t="shared" si="34"/>
        <v>40968.25</v>
      </c>
      <c r="N552">
        <v>1332306000</v>
      </c>
      <c r="O552" s="9">
        <f t="shared" si="35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_xlfn.TEXTSPLIT(R552,"/")</f>
        <v>music</v>
      </c>
      <c r="T552" t="str">
        <v>indie rock</v>
      </c>
    </row>
    <row r="553" spans="1:20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32"/>
        <v>0.58630000000000004</v>
      </c>
      <c r="G553" t="s">
        <v>14</v>
      </c>
      <c r="H553">
        <v>2779</v>
      </c>
      <c r="I553" s="5">
        <f t="shared" si="33"/>
        <v>38</v>
      </c>
      <c r="J553" t="s">
        <v>26</v>
      </c>
      <c r="K553" t="s">
        <v>27</v>
      </c>
      <c r="L553">
        <v>1419055200</v>
      </c>
      <c r="M553" s="9">
        <f t="shared" si="34"/>
        <v>41993.25</v>
      </c>
      <c r="N553">
        <v>1422511200</v>
      </c>
      <c r="O553" s="9">
        <f t="shared" si="35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_xlfn.TEXTSPLIT(R553,"/")</f>
        <v>technology</v>
      </c>
      <c r="T553" t="str">
        <v>web</v>
      </c>
    </row>
    <row r="554" spans="1:20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32"/>
        <v>0.98509999999999998</v>
      </c>
      <c r="G554" t="s">
        <v>14</v>
      </c>
      <c r="H554">
        <v>92</v>
      </c>
      <c r="I554" s="5">
        <f t="shared" si="33"/>
        <v>96.37</v>
      </c>
      <c r="J554" t="s">
        <v>21</v>
      </c>
      <c r="K554" t="s">
        <v>22</v>
      </c>
      <c r="L554">
        <v>1480140000</v>
      </c>
      <c r="M554" s="9">
        <f t="shared" si="34"/>
        <v>42700.25</v>
      </c>
      <c r="N554">
        <v>1480312800</v>
      </c>
      <c r="O554" s="9">
        <f t="shared" si="35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_xlfn.TEXTSPLIT(R554,"/")</f>
        <v>theater</v>
      </c>
      <c r="T554" t="str">
        <v>plays</v>
      </c>
    </row>
    <row r="555" spans="1:20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32"/>
        <v>0.43980000000000002</v>
      </c>
      <c r="G555" t="s">
        <v>14</v>
      </c>
      <c r="H555">
        <v>1028</v>
      </c>
      <c r="I555" s="5">
        <f t="shared" si="33"/>
        <v>72.98</v>
      </c>
      <c r="J555" t="s">
        <v>21</v>
      </c>
      <c r="K555" t="s">
        <v>22</v>
      </c>
      <c r="L555">
        <v>1293948000</v>
      </c>
      <c r="M555" s="9">
        <f t="shared" si="34"/>
        <v>40545.25</v>
      </c>
      <c r="N555">
        <v>1294034400</v>
      </c>
      <c r="O555" s="9">
        <f t="shared" si="35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_xlfn.TEXTSPLIT(R555,"/")</f>
        <v>music</v>
      </c>
      <c r="T555" t="str">
        <v>rock</v>
      </c>
    </row>
    <row r="556" spans="1:20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32"/>
        <v>1.5165999999999999</v>
      </c>
      <c r="G556" t="s">
        <v>20</v>
      </c>
      <c r="H556">
        <v>554</v>
      </c>
      <c r="I556" s="5">
        <f t="shared" si="33"/>
        <v>26.01</v>
      </c>
      <c r="J556" t="s">
        <v>15</v>
      </c>
      <c r="K556" t="s">
        <v>16</v>
      </c>
      <c r="L556">
        <v>1482127200</v>
      </c>
      <c r="M556" s="9">
        <f t="shared" si="34"/>
        <v>42723.25</v>
      </c>
      <c r="N556">
        <v>1482645600</v>
      </c>
      <c r="O556" s="9">
        <f t="shared" si="35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_xlfn.TEXTSPLIT(R556,"/")</f>
        <v>music</v>
      </c>
      <c r="T556" t="str">
        <v>indie rock</v>
      </c>
    </row>
    <row r="557" spans="1:20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32"/>
        <v>2.2363</v>
      </c>
      <c r="G557" t="s">
        <v>20</v>
      </c>
      <c r="H557">
        <v>135</v>
      </c>
      <c r="I557" s="5">
        <f t="shared" si="33"/>
        <v>104.36</v>
      </c>
      <c r="J557" t="s">
        <v>36</v>
      </c>
      <c r="K557" t="s">
        <v>37</v>
      </c>
      <c r="L557">
        <v>1396414800</v>
      </c>
      <c r="M557" s="9">
        <f t="shared" si="34"/>
        <v>41731.208333333336</v>
      </c>
      <c r="N557">
        <v>1399093200</v>
      </c>
      <c r="O557" s="9">
        <f t="shared" si="35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_xlfn.TEXTSPLIT(R557,"/")</f>
        <v>music</v>
      </c>
      <c r="T557" t="str">
        <v>rock</v>
      </c>
    </row>
    <row r="558" spans="1:20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32"/>
        <v>2.3975</v>
      </c>
      <c r="G558" t="s">
        <v>20</v>
      </c>
      <c r="H558">
        <v>122</v>
      </c>
      <c r="I558" s="5">
        <f t="shared" si="33"/>
        <v>102.19</v>
      </c>
      <c r="J558" t="s">
        <v>21</v>
      </c>
      <c r="K558" t="s">
        <v>22</v>
      </c>
      <c r="L558">
        <v>1315285200</v>
      </c>
      <c r="M558" s="9">
        <f t="shared" si="34"/>
        <v>40792.208333333336</v>
      </c>
      <c r="N558">
        <v>1315890000</v>
      </c>
      <c r="O558" s="9">
        <f t="shared" si="35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_xlfn.TEXTSPLIT(R558,"/")</f>
        <v>publishing</v>
      </c>
      <c r="T558" t="str">
        <v>translations</v>
      </c>
    </row>
    <row r="559" spans="1:20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32"/>
        <v>1.9933000000000001</v>
      </c>
      <c r="G559" t="s">
        <v>20</v>
      </c>
      <c r="H559">
        <v>221</v>
      </c>
      <c r="I559" s="5">
        <f t="shared" si="33"/>
        <v>54.12</v>
      </c>
      <c r="J559" t="s">
        <v>21</v>
      </c>
      <c r="K559" t="s">
        <v>22</v>
      </c>
      <c r="L559">
        <v>1443762000</v>
      </c>
      <c r="M559" s="9">
        <f t="shared" si="34"/>
        <v>42279.208333333328</v>
      </c>
      <c r="N559">
        <v>1444021200</v>
      </c>
      <c r="O559" s="9">
        <f t="shared" si="35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_xlfn.TEXTSPLIT(R559,"/")</f>
        <v>film &amp; video</v>
      </c>
      <c r="T559" t="str">
        <v>science fiction</v>
      </c>
    </row>
    <row r="560" spans="1:20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32"/>
        <v>1.3734</v>
      </c>
      <c r="G560" t="s">
        <v>20</v>
      </c>
      <c r="H560">
        <v>126</v>
      </c>
      <c r="I560" s="5">
        <f t="shared" si="33"/>
        <v>63.22</v>
      </c>
      <c r="J560" t="s">
        <v>21</v>
      </c>
      <c r="K560" t="s">
        <v>22</v>
      </c>
      <c r="L560">
        <v>1456293600</v>
      </c>
      <c r="M560" s="9">
        <f t="shared" si="34"/>
        <v>42424.25</v>
      </c>
      <c r="N560">
        <v>1460005200</v>
      </c>
      <c r="O560" s="9">
        <f t="shared" si="35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_xlfn.TEXTSPLIT(R560,"/")</f>
        <v>theater</v>
      </c>
      <c r="T560" t="str">
        <v>plays</v>
      </c>
    </row>
    <row r="561" spans="1:20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32"/>
        <v>1.0097</v>
      </c>
      <c r="G561" t="s">
        <v>20</v>
      </c>
      <c r="H561">
        <v>1022</v>
      </c>
      <c r="I561" s="5">
        <f t="shared" si="33"/>
        <v>104.03</v>
      </c>
      <c r="J561" t="s">
        <v>21</v>
      </c>
      <c r="K561" t="s">
        <v>22</v>
      </c>
      <c r="L561">
        <v>1470114000</v>
      </c>
      <c r="M561" s="9">
        <f t="shared" si="34"/>
        <v>42584.208333333328</v>
      </c>
      <c r="N561">
        <v>1470718800</v>
      </c>
      <c r="O561" s="9">
        <f t="shared" si="35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_xlfn.TEXTSPLIT(R561,"/")</f>
        <v>theater</v>
      </c>
      <c r="T561" t="str">
        <v>plays</v>
      </c>
    </row>
    <row r="562" spans="1:20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32"/>
        <v>7.9416000000000002</v>
      </c>
      <c r="G562" t="s">
        <v>20</v>
      </c>
      <c r="H562">
        <v>3177</v>
      </c>
      <c r="I562" s="5">
        <f t="shared" si="33"/>
        <v>49.99</v>
      </c>
      <c r="J562" t="s">
        <v>21</v>
      </c>
      <c r="K562" t="s">
        <v>22</v>
      </c>
      <c r="L562">
        <v>1321596000</v>
      </c>
      <c r="M562" s="9">
        <f t="shared" si="34"/>
        <v>40865.25</v>
      </c>
      <c r="N562">
        <v>1325052000</v>
      </c>
      <c r="O562" s="9">
        <f t="shared" si="35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_xlfn.TEXTSPLIT(R562,"/")</f>
        <v>film &amp; video</v>
      </c>
      <c r="T562" t="str">
        <v>animation</v>
      </c>
    </row>
    <row r="563" spans="1:20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32"/>
        <v>3.6970000000000001</v>
      </c>
      <c r="G563" t="s">
        <v>20</v>
      </c>
      <c r="H563">
        <v>198</v>
      </c>
      <c r="I563" s="5">
        <f t="shared" si="33"/>
        <v>56.02</v>
      </c>
      <c r="J563" t="s">
        <v>98</v>
      </c>
      <c r="K563" t="s">
        <v>99</v>
      </c>
      <c r="L563">
        <v>1318827600</v>
      </c>
      <c r="M563" s="9">
        <f t="shared" si="34"/>
        <v>40833.208333333336</v>
      </c>
      <c r="N563">
        <v>1319000400</v>
      </c>
      <c r="O563" s="9">
        <f t="shared" si="35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_xlfn.TEXTSPLIT(R563,"/")</f>
        <v>theater</v>
      </c>
      <c r="T563" t="str">
        <v>plays</v>
      </c>
    </row>
    <row r="564" spans="1:20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32"/>
        <v>0.12820000000000001</v>
      </c>
      <c r="G564" t="s">
        <v>14</v>
      </c>
      <c r="H564">
        <v>26</v>
      </c>
      <c r="I564" s="5">
        <f t="shared" si="33"/>
        <v>48.81</v>
      </c>
      <c r="J564" t="s">
        <v>98</v>
      </c>
      <c r="K564" t="s">
        <v>99</v>
      </c>
      <c r="L564">
        <v>1552366800</v>
      </c>
      <c r="M564" s="9">
        <f t="shared" si="34"/>
        <v>43536.208333333328</v>
      </c>
      <c r="N564">
        <v>1552539600</v>
      </c>
      <c r="O564" s="9">
        <f t="shared" si="35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_xlfn.TEXTSPLIT(R564,"/")</f>
        <v>music</v>
      </c>
      <c r="T564" t="str">
        <v>rock</v>
      </c>
    </row>
    <row r="565" spans="1:20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32"/>
        <v>1.3803000000000001</v>
      </c>
      <c r="G565" t="s">
        <v>20</v>
      </c>
      <c r="H565">
        <v>85</v>
      </c>
      <c r="I565" s="5">
        <f t="shared" si="33"/>
        <v>60.08</v>
      </c>
      <c r="J565" t="s">
        <v>26</v>
      </c>
      <c r="K565" t="s">
        <v>27</v>
      </c>
      <c r="L565">
        <v>1542088800</v>
      </c>
      <c r="M565" s="9">
        <f t="shared" si="34"/>
        <v>43417.25</v>
      </c>
      <c r="N565">
        <v>1543816800</v>
      </c>
      <c r="O565" s="9">
        <f t="shared" si="35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_xlfn.TEXTSPLIT(R565,"/")</f>
        <v>film &amp; video</v>
      </c>
      <c r="T565" t="str">
        <v>documentary</v>
      </c>
    </row>
    <row r="566" spans="1:20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32"/>
        <v>0.83809999999999996</v>
      </c>
      <c r="G566" t="s">
        <v>14</v>
      </c>
      <c r="H566">
        <v>1790</v>
      </c>
      <c r="I566" s="5">
        <f t="shared" si="33"/>
        <v>78.989999999999995</v>
      </c>
      <c r="J566" t="s">
        <v>21</v>
      </c>
      <c r="K566" t="s">
        <v>22</v>
      </c>
      <c r="L566">
        <v>1426395600</v>
      </c>
      <c r="M566" s="9">
        <f t="shared" si="34"/>
        <v>42078.208333333328</v>
      </c>
      <c r="N566">
        <v>1427086800</v>
      </c>
      <c r="O566" s="9">
        <f t="shared" si="35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_xlfn.TEXTSPLIT(R566,"/")</f>
        <v>theater</v>
      </c>
      <c r="T566" t="str">
        <v>plays</v>
      </c>
    </row>
    <row r="567" spans="1:20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32"/>
        <v>2.0459999999999998</v>
      </c>
      <c r="G567" t="s">
        <v>20</v>
      </c>
      <c r="H567">
        <v>3596</v>
      </c>
      <c r="I567" s="5">
        <f t="shared" si="33"/>
        <v>53.99</v>
      </c>
      <c r="J567" t="s">
        <v>21</v>
      </c>
      <c r="K567" t="s">
        <v>22</v>
      </c>
      <c r="L567">
        <v>1321336800</v>
      </c>
      <c r="M567" s="9">
        <f t="shared" si="34"/>
        <v>40862.25</v>
      </c>
      <c r="N567">
        <v>1323064800</v>
      </c>
      <c r="O567" s="9">
        <f t="shared" si="35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_xlfn.TEXTSPLIT(R567,"/")</f>
        <v>theater</v>
      </c>
      <c r="T567" t="str">
        <v>plays</v>
      </c>
    </row>
    <row r="568" spans="1:20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32"/>
        <v>0.44340000000000002</v>
      </c>
      <c r="G568" t="s">
        <v>14</v>
      </c>
      <c r="H568">
        <v>37</v>
      </c>
      <c r="I568" s="5">
        <f t="shared" si="33"/>
        <v>111.46</v>
      </c>
      <c r="J568" t="s">
        <v>21</v>
      </c>
      <c r="K568" t="s">
        <v>22</v>
      </c>
      <c r="L568">
        <v>1456293600</v>
      </c>
      <c r="M568" s="9">
        <f t="shared" si="34"/>
        <v>42424.25</v>
      </c>
      <c r="N568">
        <v>1458277200</v>
      </c>
      <c r="O568" s="9">
        <f t="shared" si="35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_xlfn.TEXTSPLIT(R568,"/")</f>
        <v>music</v>
      </c>
      <c r="T568" t="str">
        <v>electric music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32"/>
        <v>2.1859999999999999</v>
      </c>
      <c r="G569" t="s">
        <v>20</v>
      </c>
      <c r="H569">
        <v>244</v>
      </c>
      <c r="I569" s="5">
        <f t="shared" si="33"/>
        <v>60.92</v>
      </c>
      <c r="J569" t="s">
        <v>21</v>
      </c>
      <c r="K569" t="s">
        <v>22</v>
      </c>
      <c r="L569">
        <v>1404968400</v>
      </c>
      <c r="M569" s="9">
        <f t="shared" si="34"/>
        <v>41830.208333333336</v>
      </c>
      <c r="N569">
        <v>1405141200</v>
      </c>
      <c r="O569" s="9">
        <f t="shared" si="35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_xlfn.TEXTSPLIT(R569,"/")</f>
        <v>music</v>
      </c>
      <c r="T569" t="str">
        <v>rock</v>
      </c>
    </row>
    <row r="570" spans="1:20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32"/>
        <v>1.8603000000000001</v>
      </c>
      <c r="G570" t="s">
        <v>20</v>
      </c>
      <c r="H570">
        <v>5180</v>
      </c>
      <c r="I570" s="5">
        <f t="shared" si="33"/>
        <v>26</v>
      </c>
      <c r="J570" t="s">
        <v>21</v>
      </c>
      <c r="K570" t="s">
        <v>22</v>
      </c>
      <c r="L570">
        <v>1279170000</v>
      </c>
      <c r="M570" s="9">
        <f t="shared" si="34"/>
        <v>40374.208333333336</v>
      </c>
      <c r="N570">
        <v>1283058000</v>
      </c>
      <c r="O570" s="9">
        <f t="shared" si="35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_xlfn.TEXTSPLIT(R570,"/")</f>
        <v>theater</v>
      </c>
      <c r="T570" t="str">
        <v>plays</v>
      </c>
    </row>
    <row r="571" spans="1:20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32"/>
        <v>2.3734000000000002</v>
      </c>
      <c r="G571" t="s">
        <v>20</v>
      </c>
      <c r="H571">
        <v>589</v>
      </c>
      <c r="I571" s="5">
        <f t="shared" si="33"/>
        <v>80.989999999999995</v>
      </c>
      <c r="J571" t="s">
        <v>107</v>
      </c>
      <c r="K571" t="s">
        <v>108</v>
      </c>
      <c r="L571">
        <v>1294725600</v>
      </c>
      <c r="M571" s="9">
        <f t="shared" si="34"/>
        <v>40554.25</v>
      </c>
      <c r="N571">
        <v>1295762400</v>
      </c>
      <c r="O571" s="9">
        <f t="shared" si="35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_xlfn.TEXTSPLIT(R571,"/")</f>
        <v>film &amp; video</v>
      </c>
      <c r="T571" t="str">
        <v>animation</v>
      </c>
    </row>
    <row r="572" spans="1:20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32"/>
        <v>3.0565000000000002</v>
      </c>
      <c r="G572" t="s">
        <v>20</v>
      </c>
      <c r="H572">
        <v>2725</v>
      </c>
      <c r="I572" s="5">
        <f t="shared" si="33"/>
        <v>35</v>
      </c>
      <c r="J572" t="s">
        <v>21</v>
      </c>
      <c r="K572" t="s">
        <v>22</v>
      </c>
      <c r="L572">
        <v>1419055200</v>
      </c>
      <c r="M572" s="9">
        <f t="shared" si="34"/>
        <v>41993.25</v>
      </c>
      <c r="N572">
        <v>1419573600</v>
      </c>
      <c r="O572" s="9">
        <f t="shared" si="35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_xlfn.TEXTSPLIT(R572,"/")</f>
        <v>music</v>
      </c>
      <c r="T572" t="str">
        <v>rock</v>
      </c>
    </row>
    <row r="573" spans="1:20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32"/>
        <v>0.94140000000000001</v>
      </c>
      <c r="G573" t="s">
        <v>14</v>
      </c>
      <c r="H573">
        <v>35</v>
      </c>
      <c r="I573" s="5">
        <f t="shared" si="33"/>
        <v>94.14</v>
      </c>
      <c r="J573" t="s">
        <v>107</v>
      </c>
      <c r="K573" t="s">
        <v>108</v>
      </c>
      <c r="L573">
        <v>1434690000</v>
      </c>
      <c r="M573" s="9">
        <f t="shared" si="34"/>
        <v>42174.208333333328</v>
      </c>
      <c r="N573">
        <v>1438750800</v>
      </c>
      <c r="O573" s="9">
        <f t="shared" si="35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_xlfn.TEXTSPLIT(R573,"/")</f>
        <v>film &amp; video</v>
      </c>
      <c r="T573" t="str">
        <v>shorts</v>
      </c>
    </row>
    <row r="574" spans="1:20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32"/>
        <v>0.54400000000000004</v>
      </c>
      <c r="G574" t="s">
        <v>74</v>
      </c>
      <c r="H574">
        <v>94</v>
      </c>
      <c r="I574" s="5">
        <f t="shared" si="33"/>
        <v>52.09</v>
      </c>
      <c r="J574" t="s">
        <v>21</v>
      </c>
      <c r="K574" t="s">
        <v>22</v>
      </c>
      <c r="L574">
        <v>1443416400</v>
      </c>
      <c r="M574" s="9">
        <f t="shared" si="34"/>
        <v>42275.208333333328</v>
      </c>
      <c r="N574">
        <v>1444798800</v>
      </c>
      <c r="O574" s="9">
        <f t="shared" si="35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_xlfn.TEXTSPLIT(R574,"/")</f>
        <v>music</v>
      </c>
      <c r="T574" t="str">
        <v>rock</v>
      </c>
    </row>
    <row r="575" spans="1:20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32"/>
        <v>1.1188</v>
      </c>
      <c r="G575" t="s">
        <v>20</v>
      </c>
      <c r="H575">
        <v>300</v>
      </c>
      <c r="I575" s="5">
        <f t="shared" si="33"/>
        <v>24.99</v>
      </c>
      <c r="J575" t="s">
        <v>21</v>
      </c>
      <c r="K575" t="s">
        <v>22</v>
      </c>
      <c r="L575">
        <v>1399006800</v>
      </c>
      <c r="M575" s="9">
        <f t="shared" si="34"/>
        <v>41761.208333333336</v>
      </c>
      <c r="N575">
        <v>1399179600</v>
      </c>
      <c r="O575" s="9">
        <f t="shared" si="35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_xlfn.TEXTSPLIT(R575,"/")</f>
        <v>journalism</v>
      </c>
      <c r="T575" t="str">
        <v>audio</v>
      </c>
    </row>
    <row r="576" spans="1:20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32"/>
        <v>3.6915</v>
      </c>
      <c r="G576" t="s">
        <v>20</v>
      </c>
      <c r="H576">
        <v>144</v>
      </c>
      <c r="I576" s="5">
        <f t="shared" si="33"/>
        <v>69.22</v>
      </c>
      <c r="J576" t="s">
        <v>21</v>
      </c>
      <c r="K576" t="s">
        <v>22</v>
      </c>
      <c r="L576">
        <v>1575698400</v>
      </c>
      <c r="M576" s="9">
        <f t="shared" si="34"/>
        <v>43806.25</v>
      </c>
      <c r="N576">
        <v>1576562400</v>
      </c>
      <c r="O576" s="9">
        <f t="shared" si="35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_xlfn.TEXTSPLIT(R576,"/")</f>
        <v>food</v>
      </c>
      <c r="T576" t="str">
        <v>food trucks</v>
      </c>
    </row>
    <row r="577" spans="1:20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32"/>
        <v>0.62929999999999997</v>
      </c>
      <c r="G577" t="s">
        <v>14</v>
      </c>
      <c r="H577">
        <v>558</v>
      </c>
      <c r="I577" s="5">
        <f t="shared" si="33"/>
        <v>93.94</v>
      </c>
      <c r="J577" t="s">
        <v>21</v>
      </c>
      <c r="K577" t="s">
        <v>22</v>
      </c>
      <c r="L577">
        <v>1400562000</v>
      </c>
      <c r="M577" s="9">
        <f t="shared" si="34"/>
        <v>41779.208333333336</v>
      </c>
      <c r="N577">
        <v>1400821200</v>
      </c>
      <c r="O577" s="9">
        <f t="shared" si="35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_xlfn.TEXTSPLIT(R577,"/")</f>
        <v>theater</v>
      </c>
      <c r="T577" t="str">
        <v>plays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32"/>
        <v>0.64929999999999999</v>
      </c>
      <c r="G578" t="s">
        <v>14</v>
      </c>
      <c r="H578">
        <v>64</v>
      </c>
      <c r="I578" s="5">
        <f t="shared" si="33"/>
        <v>98.41</v>
      </c>
      <c r="J578" t="s">
        <v>21</v>
      </c>
      <c r="K578" t="s">
        <v>22</v>
      </c>
      <c r="L578">
        <v>1509512400</v>
      </c>
      <c r="M578" s="9">
        <f t="shared" si="34"/>
        <v>43040.208333333328</v>
      </c>
      <c r="N578">
        <v>1510984800</v>
      </c>
      <c r="O578" s="9">
        <f t="shared" si="35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_xlfn.TEXTSPLIT(R578,"/")</f>
        <v>theater</v>
      </c>
      <c r="T578" t="str">
        <v>plays</v>
      </c>
    </row>
    <row r="579" spans="1:20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ref="F579:F642" si="36">ROUND(E579/D579,4)</f>
        <v>0.1885</v>
      </c>
      <c r="G579" t="s">
        <v>74</v>
      </c>
      <c r="H579">
        <v>37</v>
      </c>
      <c r="I579" s="5">
        <f t="shared" ref="I579:I642" si="37">IF(H579=0,"0",(ROUND(E579/H579,2)))</f>
        <v>41.78</v>
      </c>
      <c r="J579" t="s">
        <v>21</v>
      </c>
      <c r="K579" t="s">
        <v>22</v>
      </c>
      <c r="L579">
        <v>1299823200</v>
      </c>
      <c r="M579" s="9">
        <f t="shared" ref="M579:M642" si="38">(((L579/60)/60)/24)+DATE(1970,1,1)</f>
        <v>40613.25</v>
      </c>
      <c r="N579">
        <v>1302066000</v>
      </c>
      <c r="O579" s="9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_xlfn.TEXTSPLIT(R579,"/")</f>
        <v>music</v>
      </c>
      <c r="T579" t="str">
        <v>jazz</v>
      </c>
    </row>
    <row r="580" spans="1:20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si="36"/>
        <v>0.16750000000000001</v>
      </c>
      <c r="G580" t="s">
        <v>14</v>
      </c>
      <c r="H580">
        <v>245</v>
      </c>
      <c r="I580" s="5">
        <f t="shared" si="37"/>
        <v>65.989999999999995</v>
      </c>
      <c r="J580" t="s">
        <v>21</v>
      </c>
      <c r="K580" t="s">
        <v>22</v>
      </c>
      <c r="L580">
        <v>1322719200</v>
      </c>
      <c r="M580" s="9">
        <f t="shared" si="38"/>
        <v>40878.25</v>
      </c>
      <c r="N580">
        <v>1322978400</v>
      </c>
      <c r="O580" s="9">
        <f t="shared" si="39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_xlfn.TEXTSPLIT(R580,"/")</f>
        <v>film &amp; video</v>
      </c>
      <c r="T580" t="str">
        <v>science fiction</v>
      </c>
    </row>
    <row r="581" spans="1:20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36"/>
        <v>1.0111000000000001</v>
      </c>
      <c r="G581" t="s">
        <v>20</v>
      </c>
      <c r="H581">
        <v>87</v>
      </c>
      <c r="I581" s="5">
        <f t="shared" si="37"/>
        <v>72.06</v>
      </c>
      <c r="J581" t="s">
        <v>21</v>
      </c>
      <c r="K581" t="s">
        <v>22</v>
      </c>
      <c r="L581">
        <v>1312693200</v>
      </c>
      <c r="M581" s="9">
        <f t="shared" si="38"/>
        <v>40762.208333333336</v>
      </c>
      <c r="N581">
        <v>1313730000</v>
      </c>
      <c r="O581" s="9">
        <f t="shared" si="39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_xlfn.TEXTSPLIT(R581,"/")</f>
        <v>music</v>
      </c>
      <c r="T581" t="str">
        <v>jazz</v>
      </c>
    </row>
    <row r="582" spans="1:20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36"/>
        <v>3.415</v>
      </c>
      <c r="G582" t="s">
        <v>20</v>
      </c>
      <c r="H582">
        <v>3116</v>
      </c>
      <c r="I582" s="5">
        <f t="shared" si="37"/>
        <v>48</v>
      </c>
      <c r="J582" t="s">
        <v>21</v>
      </c>
      <c r="K582" t="s">
        <v>22</v>
      </c>
      <c r="L582">
        <v>1393394400</v>
      </c>
      <c r="M582" s="9">
        <f t="shared" si="38"/>
        <v>41696.25</v>
      </c>
      <c r="N582">
        <v>1394085600</v>
      </c>
      <c r="O582" s="9">
        <f t="shared" si="39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_xlfn.TEXTSPLIT(R582,"/")</f>
        <v>theater</v>
      </c>
      <c r="T582" t="str">
        <v>plays</v>
      </c>
    </row>
    <row r="583" spans="1:20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36"/>
        <v>0.64019999999999999</v>
      </c>
      <c r="G583" t="s">
        <v>14</v>
      </c>
      <c r="H583">
        <v>71</v>
      </c>
      <c r="I583" s="5">
        <f t="shared" si="37"/>
        <v>54.1</v>
      </c>
      <c r="J583" t="s">
        <v>21</v>
      </c>
      <c r="K583" t="s">
        <v>22</v>
      </c>
      <c r="L583">
        <v>1304053200</v>
      </c>
      <c r="M583" s="9">
        <f t="shared" si="38"/>
        <v>40662.208333333336</v>
      </c>
      <c r="N583">
        <v>1305349200</v>
      </c>
      <c r="O583" s="9">
        <f t="shared" si="39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_xlfn.TEXTSPLIT(R583,"/")</f>
        <v>technology</v>
      </c>
      <c r="T583" t="str">
        <v>web</v>
      </c>
    </row>
    <row r="584" spans="1:20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36"/>
        <v>0.52080000000000004</v>
      </c>
      <c r="G584" t="s">
        <v>14</v>
      </c>
      <c r="H584">
        <v>42</v>
      </c>
      <c r="I584" s="5">
        <f t="shared" si="37"/>
        <v>107.88</v>
      </c>
      <c r="J584" t="s">
        <v>21</v>
      </c>
      <c r="K584" t="s">
        <v>22</v>
      </c>
      <c r="L584">
        <v>1433912400</v>
      </c>
      <c r="M584" s="9">
        <f t="shared" si="38"/>
        <v>42165.208333333328</v>
      </c>
      <c r="N584">
        <v>1434344400</v>
      </c>
      <c r="O584" s="9">
        <f t="shared" si="39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_xlfn.TEXTSPLIT(R584,"/")</f>
        <v>games</v>
      </c>
      <c r="T584" t="str">
        <v>video games</v>
      </c>
    </row>
    <row r="585" spans="1:20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36"/>
        <v>3.2240000000000002</v>
      </c>
      <c r="G585" t="s">
        <v>20</v>
      </c>
      <c r="H585">
        <v>909</v>
      </c>
      <c r="I585" s="5">
        <f t="shared" si="37"/>
        <v>67.03</v>
      </c>
      <c r="J585" t="s">
        <v>21</v>
      </c>
      <c r="K585" t="s">
        <v>22</v>
      </c>
      <c r="L585">
        <v>1329717600</v>
      </c>
      <c r="M585" s="9">
        <f t="shared" si="38"/>
        <v>40959.25</v>
      </c>
      <c r="N585">
        <v>1331186400</v>
      </c>
      <c r="O585" s="9">
        <f t="shared" si="39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_xlfn.TEXTSPLIT(R585,"/")</f>
        <v>film &amp; video</v>
      </c>
      <c r="T585" t="str">
        <v>documentary</v>
      </c>
    </row>
    <row r="586" spans="1:20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36"/>
        <v>1.1951000000000001</v>
      </c>
      <c r="G586" t="s">
        <v>20</v>
      </c>
      <c r="H586">
        <v>1613</v>
      </c>
      <c r="I586" s="5">
        <f t="shared" si="37"/>
        <v>64.010000000000005</v>
      </c>
      <c r="J586" t="s">
        <v>21</v>
      </c>
      <c r="K586" t="s">
        <v>22</v>
      </c>
      <c r="L586">
        <v>1335330000</v>
      </c>
      <c r="M586" s="9">
        <f t="shared" si="38"/>
        <v>41024.208333333336</v>
      </c>
      <c r="N586">
        <v>1336539600</v>
      </c>
      <c r="O586" s="9">
        <f t="shared" si="39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_xlfn.TEXTSPLIT(R586,"/")</f>
        <v>technology</v>
      </c>
      <c r="T586" t="str">
        <v>web</v>
      </c>
    </row>
    <row r="587" spans="1:20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36"/>
        <v>1.468</v>
      </c>
      <c r="G587" t="s">
        <v>20</v>
      </c>
      <c r="H587">
        <v>136</v>
      </c>
      <c r="I587" s="5">
        <f t="shared" si="37"/>
        <v>96.07</v>
      </c>
      <c r="J587" t="s">
        <v>21</v>
      </c>
      <c r="K587" t="s">
        <v>22</v>
      </c>
      <c r="L587">
        <v>1268888400</v>
      </c>
      <c r="M587" s="9">
        <f t="shared" si="38"/>
        <v>40255.208333333336</v>
      </c>
      <c r="N587">
        <v>1269752400</v>
      </c>
      <c r="O587" s="9">
        <f t="shared" si="39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_xlfn.TEXTSPLIT(R587,"/")</f>
        <v>publishing</v>
      </c>
      <c r="T587" t="str">
        <v>translations</v>
      </c>
    </row>
    <row r="588" spans="1:20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36"/>
        <v>9.5056999999999992</v>
      </c>
      <c r="G588" t="s">
        <v>20</v>
      </c>
      <c r="H588">
        <v>130</v>
      </c>
      <c r="I588" s="5">
        <f t="shared" si="37"/>
        <v>51.18</v>
      </c>
      <c r="J588" t="s">
        <v>21</v>
      </c>
      <c r="K588" t="s">
        <v>22</v>
      </c>
      <c r="L588">
        <v>1289973600</v>
      </c>
      <c r="M588" s="9">
        <f t="shared" si="38"/>
        <v>40499.25</v>
      </c>
      <c r="N588">
        <v>1291615200</v>
      </c>
      <c r="O588" s="9">
        <f t="shared" si="39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_xlfn.TEXTSPLIT(R588,"/")</f>
        <v>music</v>
      </c>
      <c r="T588" t="str">
        <v>rock</v>
      </c>
    </row>
    <row r="589" spans="1:20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36"/>
        <v>0.72889999999999999</v>
      </c>
      <c r="G589" t="s">
        <v>14</v>
      </c>
      <c r="H589">
        <v>156</v>
      </c>
      <c r="I589" s="5">
        <f t="shared" si="37"/>
        <v>43.92</v>
      </c>
      <c r="J589" t="s">
        <v>15</v>
      </c>
      <c r="K589" t="s">
        <v>16</v>
      </c>
      <c r="L589">
        <v>1547877600</v>
      </c>
      <c r="M589" s="9">
        <f t="shared" si="38"/>
        <v>43484.25</v>
      </c>
      <c r="N589">
        <v>1552366800</v>
      </c>
      <c r="O589" s="9">
        <f t="shared" si="39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_xlfn.TEXTSPLIT(R589,"/")</f>
        <v>food</v>
      </c>
      <c r="T589" t="str">
        <v>food trucks</v>
      </c>
    </row>
    <row r="590" spans="1:20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36"/>
        <v>0.79010000000000002</v>
      </c>
      <c r="G590" t="s">
        <v>14</v>
      </c>
      <c r="H590">
        <v>1368</v>
      </c>
      <c r="I590" s="5">
        <f t="shared" si="37"/>
        <v>91.02</v>
      </c>
      <c r="J590" t="s">
        <v>40</v>
      </c>
      <c r="K590" t="s">
        <v>41</v>
      </c>
      <c r="L590">
        <v>1269493200</v>
      </c>
      <c r="M590" s="9">
        <f t="shared" si="38"/>
        <v>40262.208333333336</v>
      </c>
      <c r="N590">
        <v>1272171600</v>
      </c>
      <c r="O590" s="9">
        <f t="shared" si="39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_xlfn.TEXTSPLIT(R590,"/")</f>
        <v>theater</v>
      </c>
      <c r="T590" t="str">
        <v>plays</v>
      </c>
    </row>
    <row r="591" spans="1:20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36"/>
        <v>0.6472</v>
      </c>
      <c r="G591" t="s">
        <v>14</v>
      </c>
      <c r="H591">
        <v>102</v>
      </c>
      <c r="I591" s="5">
        <f t="shared" si="37"/>
        <v>50.13</v>
      </c>
      <c r="J591" t="s">
        <v>21</v>
      </c>
      <c r="K591" t="s">
        <v>22</v>
      </c>
      <c r="L591">
        <v>1436072400</v>
      </c>
      <c r="M591" s="9">
        <f t="shared" si="38"/>
        <v>42190.208333333328</v>
      </c>
      <c r="N591">
        <v>1436677200</v>
      </c>
      <c r="O591" s="9">
        <f t="shared" si="39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_xlfn.TEXTSPLIT(R591,"/")</f>
        <v>film &amp; video</v>
      </c>
      <c r="T591" t="str">
        <v>documentary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36"/>
        <v>0.82030000000000003</v>
      </c>
      <c r="G592" t="s">
        <v>14</v>
      </c>
      <c r="H592">
        <v>86</v>
      </c>
      <c r="I592" s="5">
        <f t="shared" si="37"/>
        <v>67.72</v>
      </c>
      <c r="J592" t="s">
        <v>26</v>
      </c>
      <c r="K592" t="s">
        <v>27</v>
      </c>
      <c r="L592">
        <v>1419141600</v>
      </c>
      <c r="M592" s="9">
        <f t="shared" si="38"/>
        <v>41994.25</v>
      </c>
      <c r="N592">
        <v>1420092000</v>
      </c>
      <c r="O592" s="9">
        <f t="shared" si="39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_xlfn.TEXTSPLIT(R592,"/")</f>
        <v>publishing</v>
      </c>
      <c r="T592" t="str">
        <v>radio &amp; podcasts</v>
      </c>
    </row>
    <row r="593" spans="1:20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36"/>
        <v>10.3767</v>
      </c>
      <c r="G593" t="s">
        <v>20</v>
      </c>
      <c r="H593">
        <v>102</v>
      </c>
      <c r="I593" s="5">
        <f t="shared" si="37"/>
        <v>61.04</v>
      </c>
      <c r="J593" t="s">
        <v>21</v>
      </c>
      <c r="K593" t="s">
        <v>22</v>
      </c>
      <c r="L593">
        <v>1279083600</v>
      </c>
      <c r="M593" s="9">
        <f t="shared" si="38"/>
        <v>40373.208333333336</v>
      </c>
      <c r="N593">
        <v>1279947600</v>
      </c>
      <c r="O593" s="9">
        <f t="shared" si="39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_xlfn.TEXTSPLIT(R593,"/")</f>
        <v>games</v>
      </c>
      <c r="T593" t="str">
        <v>video games</v>
      </c>
    </row>
    <row r="594" spans="1:20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36"/>
        <v>0.12909999999999999</v>
      </c>
      <c r="G594" t="s">
        <v>14</v>
      </c>
      <c r="H594">
        <v>253</v>
      </c>
      <c r="I594" s="5">
        <f t="shared" si="37"/>
        <v>80.010000000000005</v>
      </c>
      <c r="J594" t="s">
        <v>21</v>
      </c>
      <c r="K594" t="s">
        <v>22</v>
      </c>
      <c r="L594">
        <v>1401426000</v>
      </c>
      <c r="M594" s="9">
        <f t="shared" si="38"/>
        <v>41789.208333333336</v>
      </c>
      <c r="N594">
        <v>1402203600</v>
      </c>
      <c r="O594" s="9">
        <f t="shared" si="39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_xlfn.TEXTSPLIT(R594,"/")</f>
        <v>theater</v>
      </c>
      <c r="T594" t="str">
        <v>plays</v>
      </c>
    </row>
    <row r="595" spans="1:20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36"/>
        <v>1.5484</v>
      </c>
      <c r="G595" t="s">
        <v>20</v>
      </c>
      <c r="H595">
        <v>4006</v>
      </c>
      <c r="I595" s="5">
        <f t="shared" si="37"/>
        <v>47</v>
      </c>
      <c r="J595" t="s">
        <v>21</v>
      </c>
      <c r="K595" t="s">
        <v>22</v>
      </c>
      <c r="L595">
        <v>1395810000</v>
      </c>
      <c r="M595" s="9">
        <f t="shared" si="38"/>
        <v>41724.208333333336</v>
      </c>
      <c r="N595">
        <v>1396933200</v>
      </c>
      <c r="O595" s="9">
        <f t="shared" si="39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_xlfn.TEXTSPLIT(R595,"/")</f>
        <v>film &amp; video</v>
      </c>
      <c r="T595" t="str">
        <v>animation</v>
      </c>
    </row>
    <row r="596" spans="1:20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36"/>
        <v>7.0999999999999994E-2</v>
      </c>
      <c r="G596" t="s">
        <v>14</v>
      </c>
      <c r="H596">
        <v>157</v>
      </c>
      <c r="I596" s="5">
        <f t="shared" si="37"/>
        <v>71.13</v>
      </c>
      <c r="J596" t="s">
        <v>21</v>
      </c>
      <c r="K596" t="s">
        <v>22</v>
      </c>
      <c r="L596">
        <v>1467003600</v>
      </c>
      <c r="M596" s="9">
        <f t="shared" si="38"/>
        <v>42548.208333333328</v>
      </c>
      <c r="N596">
        <v>1467262800</v>
      </c>
      <c r="O596" s="9">
        <f t="shared" si="39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_xlfn.TEXTSPLIT(R596,"/")</f>
        <v>theater</v>
      </c>
      <c r="T596" t="str">
        <v>plays</v>
      </c>
    </row>
    <row r="597" spans="1:20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36"/>
        <v>2.0853000000000002</v>
      </c>
      <c r="G597" t="s">
        <v>20</v>
      </c>
      <c r="H597">
        <v>1629</v>
      </c>
      <c r="I597" s="5">
        <f t="shared" si="37"/>
        <v>89.99</v>
      </c>
      <c r="J597" t="s">
        <v>21</v>
      </c>
      <c r="K597" t="s">
        <v>22</v>
      </c>
      <c r="L597">
        <v>1268715600</v>
      </c>
      <c r="M597" s="9">
        <f t="shared" si="38"/>
        <v>40253.208333333336</v>
      </c>
      <c r="N597">
        <v>1270530000</v>
      </c>
      <c r="O597" s="9">
        <f t="shared" si="39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_xlfn.TEXTSPLIT(R597,"/")</f>
        <v>theater</v>
      </c>
      <c r="T597" t="str">
        <v>plays</v>
      </c>
    </row>
    <row r="598" spans="1:20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36"/>
        <v>0.99680000000000002</v>
      </c>
      <c r="G598" t="s">
        <v>14</v>
      </c>
      <c r="H598">
        <v>183</v>
      </c>
      <c r="I598" s="5">
        <f t="shared" si="37"/>
        <v>43.03</v>
      </c>
      <c r="J598" t="s">
        <v>21</v>
      </c>
      <c r="K598" t="s">
        <v>22</v>
      </c>
      <c r="L598">
        <v>1457157600</v>
      </c>
      <c r="M598" s="9">
        <f t="shared" si="38"/>
        <v>42434.25</v>
      </c>
      <c r="N598">
        <v>1457762400</v>
      </c>
      <c r="O598" s="9">
        <f t="shared" si="39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_xlfn.TEXTSPLIT(R598,"/")</f>
        <v>film &amp; video</v>
      </c>
      <c r="T598" t="str">
        <v>drama</v>
      </c>
    </row>
    <row r="599" spans="1:20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36"/>
        <v>2.016</v>
      </c>
      <c r="G599" t="s">
        <v>20</v>
      </c>
      <c r="H599">
        <v>2188</v>
      </c>
      <c r="I599" s="5">
        <f t="shared" si="37"/>
        <v>68</v>
      </c>
      <c r="J599" t="s">
        <v>21</v>
      </c>
      <c r="K599" t="s">
        <v>22</v>
      </c>
      <c r="L599">
        <v>1573970400</v>
      </c>
      <c r="M599" s="9">
        <f t="shared" si="38"/>
        <v>43786.25</v>
      </c>
      <c r="N599">
        <v>1575525600</v>
      </c>
      <c r="O599" s="9">
        <f t="shared" si="39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_xlfn.TEXTSPLIT(R599,"/")</f>
        <v>theater</v>
      </c>
      <c r="T599" t="str">
        <v>plays</v>
      </c>
    </row>
    <row r="600" spans="1:20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36"/>
        <v>1.6209</v>
      </c>
      <c r="G600" t="s">
        <v>20</v>
      </c>
      <c r="H600">
        <v>2409</v>
      </c>
      <c r="I600" s="5">
        <f t="shared" si="37"/>
        <v>73</v>
      </c>
      <c r="J600" t="s">
        <v>107</v>
      </c>
      <c r="K600" t="s">
        <v>108</v>
      </c>
      <c r="L600">
        <v>1276578000</v>
      </c>
      <c r="M600" s="9">
        <f t="shared" si="38"/>
        <v>40344.208333333336</v>
      </c>
      <c r="N600">
        <v>1279083600</v>
      </c>
      <c r="O600" s="9">
        <f t="shared" si="39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_xlfn.TEXTSPLIT(R600,"/")</f>
        <v>music</v>
      </c>
      <c r="T600" t="str">
        <v>rock</v>
      </c>
    </row>
    <row r="601" spans="1:20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36"/>
        <v>3.6400000000000002E-2</v>
      </c>
      <c r="G601" t="s">
        <v>14</v>
      </c>
      <c r="H601">
        <v>82</v>
      </c>
      <c r="I601" s="5">
        <f t="shared" si="37"/>
        <v>62.34</v>
      </c>
      <c r="J601" t="s">
        <v>36</v>
      </c>
      <c r="K601" t="s">
        <v>37</v>
      </c>
      <c r="L601">
        <v>1423720800</v>
      </c>
      <c r="M601" s="9">
        <f t="shared" si="38"/>
        <v>42047.25</v>
      </c>
      <c r="N601">
        <v>1424412000</v>
      </c>
      <c r="O601" s="9">
        <f t="shared" si="39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_xlfn.TEXTSPLIT(R601,"/")</f>
        <v>film &amp; video</v>
      </c>
      <c r="T601" t="str">
        <v>documentary</v>
      </c>
    </row>
    <row r="602" spans="1:20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36"/>
        <v>0.05</v>
      </c>
      <c r="G602" t="s">
        <v>14</v>
      </c>
      <c r="H602">
        <v>1</v>
      </c>
      <c r="I602" s="5">
        <f t="shared" si="37"/>
        <v>5</v>
      </c>
      <c r="J602" t="s">
        <v>40</v>
      </c>
      <c r="K602" t="s">
        <v>41</v>
      </c>
      <c r="L602">
        <v>1375160400</v>
      </c>
      <c r="M602" s="9">
        <f t="shared" si="38"/>
        <v>41485.208333333336</v>
      </c>
      <c r="N602">
        <v>1376197200</v>
      </c>
      <c r="O602" s="9">
        <f t="shared" si="39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_xlfn.TEXTSPLIT(R602,"/")</f>
        <v>food</v>
      </c>
      <c r="T602" t="str">
        <v>food trucks</v>
      </c>
    </row>
    <row r="603" spans="1:20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36"/>
        <v>2.0663</v>
      </c>
      <c r="G603" t="s">
        <v>20</v>
      </c>
      <c r="H603">
        <v>194</v>
      </c>
      <c r="I603" s="5">
        <f t="shared" si="37"/>
        <v>67.099999999999994</v>
      </c>
      <c r="J603" t="s">
        <v>21</v>
      </c>
      <c r="K603" t="s">
        <v>22</v>
      </c>
      <c r="L603">
        <v>1401426000</v>
      </c>
      <c r="M603" s="9">
        <f t="shared" si="38"/>
        <v>41789.208333333336</v>
      </c>
      <c r="N603">
        <v>1402894800</v>
      </c>
      <c r="O603" s="9">
        <f t="shared" si="39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_xlfn.TEXTSPLIT(R603,"/")</f>
        <v>technology</v>
      </c>
      <c r="T603" t="str">
        <v>wearables</v>
      </c>
    </row>
    <row r="604" spans="1:20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36"/>
        <v>1.2824</v>
      </c>
      <c r="G604" t="s">
        <v>20</v>
      </c>
      <c r="H604">
        <v>1140</v>
      </c>
      <c r="I604" s="5">
        <f t="shared" si="37"/>
        <v>79.98</v>
      </c>
      <c r="J604" t="s">
        <v>21</v>
      </c>
      <c r="K604" t="s">
        <v>22</v>
      </c>
      <c r="L604">
        <v>1433480400</v>
      </c>
      <c r="M604" s="9">
        <f t="shared" si="38"/>
        <v>42160.208333333328</v>
      </c>
      <c r="N604">
        <v>1434430800</v>
      </c>
      <c r="O604" s="9">
        <f t="shared" si="39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_xlfn.TEXTSPLIT(R604,"/")</f>
        <v>theater</v>
      </c>
      <c r="T604" t="str">
        <v>plays</v>
      </c>
    </row>
    <row r="605" spans="1:20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36"/>
        <v>1.1966000000000001</v>
      </c>
      <c r="G605" t="s">
        <v>20</v>
      </c>
      <c r="H605">
        <v>102</v>
      </c>
      <c r="I605" s="5">
        <f t="shared" si="37"/>
        <v>62.18</v>
      </c>
      <c r="J605" t="s">
        <v>21</v>
      </c>
      <c r="K605" t="s">
        <v>22</v>
      </c>
      <c r="L605">
        <v>1555563600</v>
      </c>
      <c r="M605" s="9">
        <f t="shared" si="38"/>
        <v>43573.208333333328</v>
      </c>
      <c r="N605">
        <v>1557896400</v>
      </c>
      <c r="O605" s="9">
        <f t="shared" si="39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_xlfn.TEXTSPLIT(R605,"/")</f>
        <v>theater</v>
      </c>
      <c r="T605" t="str">
        <v>plays</v>
      </c>
    </row>
    <row r="606" spans="1:20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36"/>
        <v>1.7073</v>
      </c>
      <c r="G606" t="s">
        <v>20</v>
      </c>
      <c r="H606">
        <v>2857</v>
      </c>
      <c r="I606" s="5">
        <f t="shared" si="37"/>
        <v>53.01</v>
      </c>
      <c r="J606" t="s">
        <v>21</v>
      </c>
      <c r="K606" t="s">
        <v>22</v>
      </c>
      <c r="L606">
        <v>1295676000</v>
      </c>
      <c r="M606" s="9">
        <f t="shared" si="38"/>
        <v>40565.25</v>
      </c>
      <c r="N606">
        <v>1297490400</v>
      </c>
      <c r="O606" s="9">
        <f t="shared" si="39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_xlfn.TEXTSPLIT(R606,"/")</f>
        <v>theater</v>
      </c>
      <c r="T606" t="str">
        <v>plays</v>
      </c>
    </row>
    <row r="607" spans="1:20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36"/>
        <v>1.8721000000000001</v>
      </c>
      <c r="G607" t="s">
        <v>20</v>
      </c>
      <c r="H607">
        <v>107</v>
      </c>
      <c r="I607" s="5">
        <f t="shared" si="37"/>
        <v>57.74</v>
      </c>
      <c r="J607" t="s">
        <v>21</v>
      </c>
      <c r="K607" t="s">
        <v>22</v>
      </c>
      <c r="L607">
        <v>1443848400</v>
      </c>
      <c r="M607" s="9">
        <f t="shared" si="38"/>
        <v>42280.208333333328</v>
      </c>
      <c r="N607">
        <v>1447394400</v>
      </c>
      <c r="O607" s="9">
        <f t="shared" si="39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_xlfn.TEXTSPLIT(R607,"/")</f>
        <v>publishing</v>
      </c>
      <c r="T607" t="str">
        <v>nonfiction</v>
      </c>
    </row>
    <row r="608" spans="1:20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36"/>
        <v>1.8837999999999999</v>
      </c>
      <c r="G608" t="s">
        <v>20</v>
      </c>
      <c r="H608">
        <v>160</v>
      </c>
      <c r="I608" s="5">
        <f t="shared" si="37"/>
        <v>40.03</v>
      </c>
      <c r="J608" t="s">
        <v>40</v>
      </c>
      <c r="K608" t="s">
        <v>41</v>
      </c>
      <c r="L608">
        <v>1457330400</v>
      </c>
      <c r="M608" s="9">
        <f t="shared" si="38"/>
        <v>42436.25</v>
      </c>
      <c r="N608">
        <v>1458277200</v>
      </c>
      <c r="O608" s="9">
        <f t="shared" si="39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_xlfn.TEXTSPLIT(R608,"/")</f>
        <v>music</v>
      </c>
      <c r="T608" t="str">
        <v>rock</v>
      </c>
    </row>
    <row r="609" spans="1:20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36"/>
        <v>1.3129999999999999</v>
      </c>
      <c r="G609" t="s">
        <v>20</v>
      </c>
      <c r="H609">
        <v>2230</v>
      </c>
      <c r="I609" s="5">
        <f t="shared" si="37"/>
        <v>81.02</v>
      </c>
      <c r="J609" t="s">
        <v>21</v>
      </c>
      <c r="K609" t="s">
        <v>22</v>
      </c>
      <c r="L609">
        <v>1395550800</v>
      </c>
      <c r="M609" s="9">
        <f t="shared" si="38"/>
        <v>41721.208333333336</v>
      </c>
      <c r="N609">
        <v>1395723600</v>
      </c>
      <c r="O609" s="9">
        <f t="shared" si="39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_xlfn.TEXTSPLIT(R609,"/")</f>
        <v>food</v>
      </c>
      <c r="T609" t="str">
        <v>food trucks</v>
      </c>
    </row>
    <row r="610" spans="1:20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36"/>
        <v>2.8397000000000001</v>
      </c>
      <c r="G610" t="s">
        <v>20</v>
      </c>
      <c r="H610">
        <v>316</v>
      </c>
      <c r="I610" s="5">
        <f t="shared" si="37"/>
        <v>35.049999999999997</v>
      </c>
      <c r="J610" t="s">
        <v>21</v>
      </c>
      <c r="K610" t="s">
        <v>22</v>
      </c>
      <c r="L610">
        <v>1551852000</v>
      </c>
      <c r="M610" s="9">
        <f t="shared" si="38"/>
        <v>43530.25</v>
      </c>
      <c r="N610">
        <v>1552197600</v>
      </c>
      <c r="O610" s="9">
        <f t="shared" si="39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_xlfn.TEXTSPLIT(R610,"/")</f>
        <v>music</v>
      </c>
      <c r="T610" t="str">
        <v>jazz</v>
      </c>
    </row>
    <row r="611" spans="1:20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36"/>
        <v>1.2041999999999999</v>
      </c>
      <c r="G611" t="s">
        <v>20</v>
      </c>
      <c r="H611">
        <v>117</v>
      </c>
      <c r="I611" s="5">
        <f t="shared" si="37"/>
        <v>102.92</v>
      </c>
      <c r="J611" t="s">
        <v>21</v>
      </c>
      <c r="K611" t="s">
        <v>22</v>
      </c>
      <c r="L611">
        <v>1547618400</v>
      </c>
      <c r="M611" s="9">
        <f t="shared" si="38"/>
        <v>43481.25</v>
      </c>
      <c r="N611">
        <v>1549087200</v>
      </c>
      <c r="O611" s="9">
        <f t="shared" si="39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_xlfn.TEXTSPLIT(R611,"/")</f>
        <v>film &amp; video</v>
      </c>
      <c r="T611" t="str">
        <v>science fiction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36"/>
        <v>4.1905999999999999</v>
      </c>
      <c r="G612" t="s">
        <v>20</v>
      </c>
      <c r="H612">
        <v>6406</v>
      </c>
      <c r="I612" s="5">
        <f t="shared" si="37"/>
        <v>28</v>
      </c>
      <c r="J612" t="s">
        <v>21</v>
      </c>
      <c r="K612" t="s">
        <v>22</v>
      </c>
      <c r="L612">
        <v>1355637600</v>
      </c>
      <c r="M612" s="9">
        <f t="shared" si="38"/>
        <v>41259.25</v>
      </c>
      <c r="N612">
        <v>1356847200</v>
      </c>
      <c r="O612" s="9">
        <f t="shared" si="39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_xlfn.TEXTSPLIT(R612,"/")</f>
        <v>theater</v>
      </c>
      <c r="T612" t="str">
        <v>plays</v>
      </c>
    </row>
    <row r="613" spans="1:20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36"/>
        <v>0.13850000000000001</v>
      </c>
      <c r="G613" t="s">
        <v>74</v>
      </c>
      <c r="H613">
        <v>15</v>
      </c>
      <c r="I613" s="5">
        <f t="shared" si="37"/>
        <v>75.73</v>
      </c>
      <c r="J613" t="s">
        <v>21</v>
      </c>
      <c r="K613" t="s">
        <v>22</v>
      </c>
      <c r="L613">
        <v>1374728400</v>
      </c>
      <c r="M613" s="9">
        <f t="shared" si="38"/>
        <v>41480.208333333336</v>
      </c>
      <c r="N613">
        <v>1375765200</v>
      </c>
      <c r="O613" s="9">
        <f t="shared" si="39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_xlfn.TEXTSPLIT(R613,"/")</f>
        <v>theater</v>
      </c>
      <c r="T613" t="str">
        <v>plays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36"/>
        <v>1.3944000000000001</v>
      </c>
      <c r="G614" t="s">
        <v>20</v>
      </c>
      <c r="H614">
        <v>192</v>
      </c>
      <c r="I614" s="5">
        <f t="shared" si="37"/>
        <v>45.03</v>
      </c>
      <c r="J614" t="s">
        <v>21</v>
      </c>
      <c r="K614" t="s">
        <v>22</v>
      </c>
      <c r="L614">
        <v>1287810000</v>
      </c>
      <c r="M614" s="9">
        <f t="shared" si="38"/>
        <v>40474.208333333336</v>
      </c>
      <c r="N614">
        <v>1289800800</v>
      </c>
      <c r="O614" s="9">
        <f t="shared" si="39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_xlfn.TEXTSPLIT(R614,"/")</f>
        <v>music</v>
      </c>
      <c r="T614" t="str">
        <v>electric music</v>
      </c>
    </row>
    <row r="615" spans="1:20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36"/>
        <v>1.74</v>
      </c>
      <c r="G615" t="s">
        <v>20</v>
      </c>
      <c r="H615">
        <v>26</v>
      </c>
      <c r="I615" s="5">
        <f t="shared" si="37"/>
        <v>73.62</v>
      </c>
      <c r="J615" t="s">
        <v>15</v>
      </c>
      <c r="K615" t="s">
        <v>16</v>
      </c>
      <c r="L615">
        <v>1503723600</v>
      </c>
      <c r="M615" s="9">
        <f t="shared" si="38"/>
        <v>42973.208333333328</v>
      </c>
      <c r="N615">
        <v>1504501200</v>
      </c>
      <c r="O615" s="9">
        <f t="shared" si="39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_xlfn.TEXTSPLIT(R615,"/")</f>
        <v>theater</v>
      </c>
      <c r="T615" t="str">
        <v>plays</v>
      </c>
    </row>
    <row r="616" spans="1:20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36"/>
        <v>1.5548999999999999</v>
      </c>
      <c r="G616" t="s">
        <v>20</v>
      </c>
      <c r="H616">
        <v>723</v>
      </c>
      <c r="I616" s="5">
        <f t="shared" si="37"/>
        <v>56.99</v>
      </c>
      <c r="J616" t="s">
        <v>21</v>
      </c>
      <c r="K616" t="s">
        <v>22</v>
      </c>
      <c r="L616">
        <v>1484114400</v>
      </c>
      <c r="M616" s="9">
        <f t="shared" si="38"/>
        <v>42746.25</v>
      </c>
      <c r="N616">
        <v>1485669600</v>
      </c>
      <c r="O616" s="9">
        <f t="shared" si="39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_xlfn.TEXTSPLIT(R616,"/")</f>
        <v>theater</v>
      </c>
      <c r="T616" t="str">
        <v>plays</v>
      </c>
    </row>
    <row r="617" spans="1:20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36"/>
        <v>1.7044999999999999</v>
      </c>
      <c r="G617" t="s">
        <v>20</v>
      </c>
      <c r="H617">
        <v>170</v>
      </c>
      <c r="I617" s="5">
        <f t="shared" si="37"/>
        <v>85.22</v>
      </c>
      <c r="J617" t="s">
        <v>107</v>
      </c>
      <c r="K617" t="s">
        <v>108</v>
      </c>
      <c r="L617">
        <v>1461906000</v>
      </c>
      <c r="M617" s="9">
        <f t="shared" si="38"/>
        <v>42489.208333333328</v>
      </c>
      <c r="N617">
        <v>1462770000</v>
      </c>
      <c r="O617" s="9">
        <f t="shared" si="39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_xlfn.TEXTSPLIT(R617,"/")</f>
        <v>theater</v>
      </c>
      <c r="T617" t="str">
        <v>plays</v>
      </c>
    </row>
    <row r="618" spans="1:20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36"/>
        <v>1.8952</v>
      </c>
      <c r="G618" t="s">
        <v>20</v>
      </c>
      <c r="H618">
        <v>238</v>
      </c>
      <c r="I618" s="5">
        <f t="shared" si="37"/>
        <v>50.96</v>
      </c>
      <c r="J618" t="s">
        <v>40</v>
      </c>
      <c r="K618" t="s">
        <v>41</v>
      </c>
      <c r="L618">
        <v>1379653200</v>
      </c>
      <c r="M618" s="9">
        <f t="shared" si="38"/>
        <v>41537.208333333336</v>
      </c>
      <c r="N618">
        <v>1379739600</v>
      </c>
      <c r="O618" s="9">
        <f t="shared" si="39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_xlfn.TEXTSPLIT(R618,"/")</f>
        <v>music</v>
      </c>
      <c r="T618" t="str">
        <v>indie rock</v>
      </c>
    </row>
    <row r="619" spans="1:20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36"/>
        <v>2.4971000000000001</v>
      </c>
      <c r="G619" t="s">
        <v>20</v>
      </c>
      <c r="H619">
        <v>55</v>
      </c>
      <c r="I619" s="5">
        <f t="shared" si="37"/>
        <v>63.56</v>
      </c>
      <c r="J619" t="s">
        <v>21</v>
      </c>
      <c r="K619" t="s">
        <v>22</v>
      </c>
      <c r="L619">
        <v>1401858000</v>
      </c>
      <c r="M619" s="9">
        <f t="shared" si="38"/>
        <v>41794.208333333336</v>
      </c>
      <c r="N619">
        <v>1402722000</v>
      </c>
      <c r="O619" s="9">
        <f t="shared" si="39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_xlfn.TEXTSPLIT(R619,"/")</f>
        <v>theater</v>
      </c>
      <c r="T619" t="str">
        <v>plays</v>
      </c>
    </row>
    <row r="620" spans="1:20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36"/>
        <v>0.48859999999999998</v>
      </c>
      <c r="G620" t="s">
        <v>14</v>
      </c>
      <c r="H620">
        <v>1198</v>
      </c>
      <c r="I620" s="5">
        <f t="shared" si="37"/>
        <v>81</v>
      </c>
      <c r="J620" t="s">
        <v>21</v>
      </c>
      <c r="K620" t="s">
        <v>22</v>
      </c>
      <c r="L620">
        <v>1367470800</v>
      </c>
      <c r="M620" s="9">
        <f t="shared" si="38"/>
        <v>41396.208333333336</v>
      </c>
      <c r="N620">
        <v>1369285200</v>
      </c>
      <c r="O620" s="9">
        <f t="shared" si="39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_xlfn.TEXTSPLIT(R620,"/")</f>
        <v>publishing</v>
      </c>
      <c r="T620" t="str">
        <v>nonfiction</v>
      </c>
    </row>
    <row r="621" spans="1:20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36"/>
        <v>0.28460000000000002</v>
      </c>
      <c r="G621" t="s">
        <v>14</v>
      </c>
      <c r="H621">
        <v>648</v>
      </c>
      <c r="I621" s="5">
        <f t="shared" si="37"/>
        <v>86.04</v>
      </c>
      <c r="J621" t="s">
        <v>21</v>
      </c>
      <c r="K621" t="s">
        <v>22</v>
      </c>
      <c r="L621">
        <v>1304658000</v>
      </c>
      <c r="M621" s="9">
        <f t="shared" si="38"/>
        <v>40669.208333333336</v>
      </c>
      <c r="N621">
        <v>1304744400</v>
      </c>
      <c r="O621" s="9">
        <f t="shared" si="39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_xlfn.TEXTSPLIT(R621,"/")</f>
        <v>theater</v>
      </c>
      <c r="T621" t="str">
        <v>plays</v>
      </c>
    </row>
    <row r="622" spans="1:20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36"/>
        <v>2.6802000000000001</v>
      </c>
      <c r="G622" t="s">
        <v>20</v>
      </c>
      <c r="H622">
        <v>128</v>
      </c>
      <c r="I622" s="5">
        <f t="shared" si="37"/>
        <v>90.04</v>
      </c>
      <c r="J622" t="s">
        <v>26</v>
      </c>
      <c r="K622" t="s">
        <v>27</v>
      </c>
      <c r="L622">
        <v>1467954000</v>
      </c>
      <c r="M622" s="9">
        <f t="shared" si="38"/>
        <v>42559.208333333328</v>
      </c>
      <c r="N622">
        <v>1468299600</v>
      </c>
      <c r="O622" s="9">
        <f t="shared" si="39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_xlfn.TEXTSPLIT(R622,"/")</f>
        <v>photography</v>
      </c>
      <c r="T622" t="str">
        <v>photography books</v>
      </c>
    </row>
    <row r="623" spans="1:20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36"/>
        <v>6.1980000000000004</v>
      </c>
      <c r="G623" t="s">
        <v>20</v>
      </c>
      <c r="H623">
        <v>2144</v>
      </c>
      <c r="I623" s="5">
        <f t="shared" si="37"/>
        <v>74.010000000000005</v>
      </c>
      <c r="J623" t="s">
        <v>21</v>
      </c>
      <c r="K623" t="s">
        <v>22</v>
      </c>
      <c r="L623">
        <v>1473742800</v>
      </c>
      <c r="M623" s="9">
        <f t="shared" si="38"/>
        <v>42626.208333333328</v>
      </c>
      <c r="N623">
        <v>1474174800</v>
      </c>
      <c r="O623" s="9">
        <f t="shared" si="39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_xlfn.TEXTSPLIT(R623,"/")</f>
        <v>theater</v>
      </c>
      <c r="T623" t="str">
        <v>plays</v>
      </c>
    </row>
    <row r="624" spans="1:20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36"/>
        <v>3.1300000000000001E-2</v>
      </c>
      <c r="G624" t="s">
        <v>14</v>
      </c>
      <c r="H624">
        <v>64</v>
      </c>
      <c r="I624" s="5">
        <f t="shared" si="37"/>
        <v>92.44</v>
      </c>
      <c r="J624" t="s">
        <v>21</v>
      </c>
      <c r="K624" t="s">
        <v>22</v>
      </c>
      <c r="L624">
        <v>1523768400</v>
      </c>
      <c r="M624" s="9">
        <f t="shared" si="38"/>
        <v>43205.208333333328</v>
      </c>
      <c r="N624">
        <v>1526014800</v>
      </c>
      <c r="O624" s="9">
        <f t="shared" si="39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_xlfn.TEXTSPLIT(R624,"/")</f>
        <v>music</v>
      </c>
      <c r="T624" t="str">
        <v>indie rock</v>
      </c>
    </row>
    <row r="625" spans="1:20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36"/>
        <v>1.5992</v>
      </c>
      <c r="G625" t="s">
        <v>20</v>
      </c>
      <c r="H625">
        <v>2693</v>
      </c>
      <c r="I625" s="5">
        <f t="shared" si="37"/>
        <v>56</v>
      </c>
      <c r="J625" t="s">
        <v>40</v>
      </c>
      <c r="K625" t="s">
        <v>41</v>
      </c>
      <c r="L625">
        <v>1437022800</v>
      </c>
      <c r="M625" s="9">
        <f t="shared" si="38"/>
        <v>42201.208333333328</v>
      </c>
      <c r="N625">
        <v>1437454800</v>
      </c>
      <c r="O625" s="9">
        <f t="shared" si="39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_xlfn.TEXTSPLIT(R625,"/")</f>
        <v>theater</v>
      </c>
      <c r="T625" t="str">
        <v>plays</v>
      </c>
    </row>
    <row r="626" spans="1:20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36"/>
        <v>2.7938999999999998</v>
      </c>
      <c r="G626" t="s">
        <v>20</v>
      </c>
      <c r="H626">
        <v>432</v>
      </c>
      <c r="I626" s="5">
        <f t="shared" si="37"/>
        <v>32.979999999999997</v>
      </c>
      <c r="J626" t="s">
        <v>21</v>
      </c>
      <c r="K626" t="s">
        <v>22</v>
      </c>
      <c r="L626">
        <v>1422165600</v>
      </c>
      <c r="M626" s="9">
        <f t="shared" si="38"/>
        <v>42029.25</v>
      </c>
      <c r="N626">
        <v>1422684000</v>
      </c>
      <c r="O626" s="9">
        <f t="shared" si="39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_xlfn.TEXTSPLIT(R626,"/")</f>
        <v>photography</v>
      </c>
      <c r="T626" t="str">
        <v>photography books</v>
      </c>
    </row>
    <row r="627" spans="1:20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36"/>
        <v>0.77370000000000005</v>
      </c>
      <c r="G627" t="s">
        <v>14</v>
      </c>
      <c r="H627">
        <v>62</v>
      </c>
      <c r="I627" s="5">
        <f t="shared" si="37"/>
        <v>93.6</v>
      </c>
      <c r="J627" t="s">
        <v>21</v>
      </c>
      <c r="K627" t="s">
        <v>22</v>
      </c>
      <c r="L627">
        <v>1580104800</v>
      </c>
      <c r="M627" s="9">
        <f t="shared" si="38"/>
        <v>43857.25</v>
      </c>
      <c r="N627">
        <v>1581314400</v>
      </c>
      <c r="O627" s="9">
        <f t="shared" si="39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_xlfn.TEXTSPLIT(R627,"/")</f>
        <v>theater</v>
      </c>
      <c r="T627" t="str">
        <v>plays</v>
      </c>
    </row>
    <row r="628" spans="1:20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36"/>
        <v>2.0632999999999999</v>
      </c>
      <c r="G628" t="s">
        <v>20</v>
      </c>
      <c r="H628">
        <v>189</v>
      </c>
      <c r="I628" s="5">
        <f t="shared" si="37"/>
        <v>69.87</v>
      </c>
      <c r="J628" t="s">
        <v>21</v>
      </c>
      <c r="K628" t="s">
        <v>22</v>
      </c>
      <c r="L628">
        <v>1285650000</v>
      </c>
      <c r="M628" s="9">
        <f t="shared" si="38"/>
        <v>40449.208333333336</v>
      </c>
      <c r="N628">
        <v>1286427600</v>
      </c>
      <c r="O628" s="9">
        <f t="shared" si="39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_xlfn.TEXTSPLIT(R628,"/")</f>
        <v>theater</v>
      </c>
      <c r="T628" t="str">
        <v>plays</v>
      </c>
    </row>
    <row r="629" spans="1:20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36"/>
        <v>6.9424999999999999</v>
      </c>
      <c r="G629" t="s">
        <v>20</v>
      </c>
      <c r="H629">
        <v>154</v>
      </c>
      <c r="I629" s="5">
        <f t="shared" si="37"/>
        <v>72.13</v>
      </c>
      <c r="J629" t="s">
        <v>40</v>
      </c>
      <c r="K629" t="s">
        <v>41</v>
      </c>
      <c r="L629">
        <v>1276664400</v>
      </c>
      <c r="M629" s="9">
        <f t="shared" si="38"/>
        <v>40345.208333333336</v>
      </c>
      <c r="N629">
        <v>1278738000</v>
      </c>
      <c r="O629" s="9">
        <f t="shared" si="39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_xlfn.TEXTSPLIT(R629,"/")</f>
        <v>food</v>
      </c>
      <c r="T629" t="str">
        <v>food trucks</v>
      </c>
    </row>
    <row r="630" spans="1:20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36"/>
        <v>1.5179</v>
      </c>
      <c r="G630" t="s">
        <v>20</v>
      </c>
      <c r="H630">
        <v>96</v>
      </c>
      <c r="I630" s="5">
        <f t="shared" si="37"/>
        <v>30.04</v>
      </c>
      <c r="J630" t="s">
        <v>21</v>
      </c>
      <c r="K630" t="s">
        <v>22</v>
      </c>
      <c r="L630">
        <v>1286168400</v>
      </c>
      <c r="M630" s="9">
        <f t="shared" si="38"/>
        <v>40455.208333333336</v>
      </c>
      <c r="N630">
        <v>1286427600</v>
      </c>
      <c r="O630" s="9">
        <f t="shared" si="39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_xlfn.TEXTSPLIT(R630,"/")</f>
        <v>music</v>
      </c>
      <c r="T630" t="str">
        <v>indie rock</v>
      </c>
    </row>
    <row r="631" spans="1:20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36"/>
        <v>0.64580000000000004</v>
      </c>
      <c r="G631" t="s">
        <v>14</v>
      </c>
      <c r="H631">
        <v>750</v>
      </c>
      <c r="I631" s="5">
        <f t="shared" si="37"/>
        <v>73.97</v>
      </c>
      <c r="J631" t="s">
        <v>21</v>
      </c>
      <c r="K631" t="s">
        <v>22</v>
      </c>
      <c r="L631">
        <v>1467781200</v>
      </c>
      <c r="M631" s="9">
        <f t="shared" si="38"/>
        <v>42557.208333333328</v>
      </c>
      <c r="N631">
        <v>1467954000</v>
      </c>
      <c r="O631" s="9">
        <f t="shared" si="39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_xlfn.TEXTSPLIT(R631,"/")</f>
        <v>theater</v>
      </c>
      <c r="T631" t="str">
        <v>plays</v>
      </c>
    </row>
    <row r="632" spans="1:20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36"/>
        <v>0.62870000000000004</v>
      </c>
      <c r="G632" t="s">
        <v>74</v>
      </c>
      <c r="H632">
        <v>87</v>
      </c>
      <c r="I632" s="5">
        <f t="shared" si="37"/>
        <v>68.66</v>
      </c>
      <c r="J632" t="s">
        <v>21</v>
      </c>
      <c r="K632" t="s">
        <v>22</v>
      </c>
      <c r="L632">
        <v>1556686800</v>
      </c>
      <c r="M632" s="9">
        <f t="shared" si="38"/>
        <v>43586.208333333328</v>
      </c>
      <c r="N632">
        <v>1557637200</v>
      </c>
      <c r="O632" s="9">
        <f t="shared" si="39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_xlfn.TEXTSPLIT(R632,"/")</f>
        <v>theater</v>
      </c>
      <c r="T632" t="str">
        <v>plays</v>
      </c>
    </row>
    <row r="633" spans="1:20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36"/>
        <v>3.1040000000000001</v>
      </c>
      <c r="G633" t="s">
        <v>20</v>
      </c>
      <c r="H633">
        <v>3063</v>
      </c>
      <c r="I633" s="5">
        <f t="shared" si="37"/>
        <v>59.99</v>
      </c>
      <c r="J633" t="s">
        <v>21</v>
      </c>
      <c r="K633" t="s">
        <v>22</v>
      </c>
      <c r="L633">
        <v>1553576400</v>
      </c>
      <c r="M633" s="9">
        <f t="shared" si="38"/>
        <v>43550.208333333328</v>
      </c>
      <c r="N633">
        <v>1553922000</v>
      </c>
      <c r="O633" s="9">
        <f t="shared" si="39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_xlfn.TEXTSPLIT(R633,"/")</f>
        <v>theater</v>
      </c>
      <c r="T633" t="str">
        <v>plays</v>
      </c>
    </row>
    <row r="634" spans="1:20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36"/>
        <v>0.42859999999999998</v>
      </c>
      <c r="G634" t="s">
        <v>47</v>
      </c>
      <c r="H634">
        <v>278</v>
      </c>
      <c r="I634" s="5">
        <f t="shared" si="37"/>
        <v>111.16</v>
      </c>
      <c r="J634" t="s">
        <v>21</v>
      </c>
      <c r="K634" t="s">
        <v>22</v>
      </c>
      <c r="L634">
        <v>1414904400</v>
      </c>
      <c r="M634" s="9">
        <f t="shared" si="38"/>
        <v>41945.208333333336</v>
      </c>
      <c r="N634">
        <v>1416463200</v>
      </c>
      <c r="O634" s="9">
        <f t="shared" si="39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_xlfn.TEXTSPLIT(R634,"/")</f>
        <v>theater</v>
      </c>
      <c r="T634" t="str">
        <v>plays</v>
      </c>
    </row>
    <row r="635" spans="1:20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36"/>
        <v>0.83120000000000005</v>
      </c>
      <c r="G635" t="s">
        <v>14</v>
      </c>
      <c r="H635">
        <v>105</v>
      </c>
      <c r="I635" s="5">
        <f t="shared" si="37"/>
        <v>53.04</v>
      </c>
      <c r="J635" t="s">
        <v>21</v>
      </c>
      <c r="K635" t="s">
        <v>22</v>
      </c>
      <c r="L635">
        <v>1446876000</v>
      </c>
      <c r="M635" s="9">
        <f t="shared" si="38"/>
        <v>42315.25</v>
      </c>
      <c r="N635">
        <v>1447221600</v>
      </c>
      <c r="O635" s="9">
        <f t="shared" si="39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_xlfn.TEXTSPLIT(R635,"/")</f>
        <v>film &amp; video</v>
      </c>
      <c r="T635" t="str">
        <v>animation</v>
      </c>
    </row>
    <row r="636" spans="1:20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36"/>
        <v>0.7853</v>
      </c>
      <c r="G636" t="s">
        <v>74</v>
      </c>
      <c r="H636">
        <v>1658</v>
      </c>
      <c r="I636" s="5">
        <f t="shared" si="37"/>
        <v>55.99</v>
      </c>
      <c r="J636" t="s">
        <v>21</v>
      </c>
      <c r="K636" t="s">
        <v>22</v>
      </c>
      <c r="L636">
        <v>1490418000</v>
      </c>
      <c r="M636" s="9">
        <f t="shared" si="38"/>
        <v>42819.208333333328</v>
      </c>
      <c r="N636">
        <v>1491627600</v>
      </c>
      <c r="O636" s="9">
        <f t="shared" si="39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_xlfn.TEXTSPLIT(R636,"/")</f>
        <v>film &amp; video</v>
      </c>
      <c r="T636" t="str">
        <v>television</v>
      </c>
    </row>
    <row r="637" spans="1:20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36"/>
        <v>1.1409</v>
      </c>
      <c r="G637" t="s">
        <v>20</v>
      </c>
      <c r="H637">
        <v>2266</v>
      </c>
      <c r="I637" s="5">
        <f t="shared" si="37"/>
        <v>69.989999999999995</v>
      </c>
      <c r="J637" t="s">
        <v>21</v>
      </c>
      <c r="K637" t="s">
        <v>22</v>
      </c>
      <c r="L637">
        <v>1360389600</v>
      </c>
      <c r="M637" s="9">
        <f t="shared" si="38"/>
        <v>41314.25</v>
      </c>
      <c r="N637">
        <v>1363150800</v>
      </c>
      <c r="O637" s="9">
        <f t="shared" si="39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_xlfn.TEXTSPLIT(R637,"/")</f>
        <v>film &amp; video</v>
      </c>
      <c r="T637" t="str">
        <v>television</v>
      </c>
    </row>
    <row r="638" spans="1:20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36"/>
        <v>0.64539999999999997</v>
      </c>
      <c r="G638" t="s">
        <v>14</v>
      </c>
      <c r="H638">
        <v>2604</v>
      </c>
      <c r="I638" s="5">
        <f t="shared" si="37"/>
        <v>49</v>
      </c>
      <c r="J638" t="s">
        <v>36</v>
      </c>
      <c r="K638" t="s">
        <v>37</v>
      </c>
      <c r="L638">
        <v>1326866400</v>
      </c>
      <c r="M638" s="9">
        <f t="shared" si="38"/>
        <v>40926.25</v>
      </c>
      <c r="N638">
        <v>1330754400</v>
      </c>
      <c r="O638" s="9">
        <f t="shared" si="39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_xlfn.TEXTSPLIT(R638,"/")</f>
        <v>film &amp; video</v>
      </c>
      <c r="T638" t="str">
        <v>animation</v>
      </c>
    </row>
    <row r="639" spans="1:20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36"/>
        <v>0.79410000000000003</v>
      </c>
      <c r="G639" t="s">
        <v>14</v>
      </c>
      <c r="H639">
        <v>65</v>
      </c>
      <c r="I639" s="5">
        <f t="shared" si="37"/>
        <v>103.85</v>
      </c>
      <c r="J639" t="s">
        <v>21</v>
      </c>
      <c r="K639" t="s">
        <v>22</v>
      </c>
      <c r="L639">
        <v>1479103200</v>
      </c>
      <c r="M639" s="9">
        <f t="shared" si="38"/>
        <v>42688.25</v>
      </c>
      <c r="N639">
        <v>1479794400</v>
      </c>
      <c r="O639" s="9">
        <f t="shared" si="39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_xlfn.TEXTSPLIT(R639,"/")</f>
        <v>theater</v>
      </c>
      <c r="T639" t="str">
        <v>plays</v>
      </c>
    </row>
    <row r="640" spans="1:20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36"/>
        <v>0.1142</v>
      </c>
      <c r="G640" t="s">
        <v>14</v>
      </c>
      <c r="H640">
        <v>94</v>
      </c>
      <c r="I640" s="5">
        <f t="shared" si="37"/>
        <v>99.13</v>
      </c>
      <c r="J640" t="s">
        <v>21</v>
      </c>
      <c r="K640" t="s">
        <v>22</v>
      </c>
      <c r="L640">
        <v>1280206800</v>
      </c>
      <c r="M640" s="9">
        <f t="shared" si="38"/>
        <v>40386.208333333336</v>
      </c>
      <c r="N640">
        <v>1281243600</v>
      </c>
      <c r="O640" s="9">
        <f t="shared" si="39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_xlfn.TEXTSPLIT(R640,"/")</f>
        <v>theater</v>
      </c>
      <c r="T640" t="str">
        <v>plays</v>
      </c>
    </row>
    <row r="641" spans="1:20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36"/>
        <v>0.56189999999999996</v>
      </c>
      <c r="G641" t="s">
        <v>47</v>
      </c>
      <c r="H641">
        <v>45</v>
      </c>
      <c r="I641" s="5">
        <f t="shared" si="37"/>
        <v>107.38</v>
      </c>
      <c r="J641" t="s">
        <v>21</v>
      </c>
      <c r="K641" t="s">
        <v>22</v>
      </c>
      <c r="L641">
        <v>1532754000</v>
      </c>
      <c r="M641" s="9">
        <f t="shared" si="38"/>
        <v>43309.208333333328</v>
      </c>
      <c r="N641">
        <v>1532754000</v>
      </c>
      <c r="O641" s="9">
        <f t="shared" si="39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_xlfn.TEXTSPLIT(R641,"/")</f>
        <v>film &amp; video</v>
      </c>
      <c r="T641" t="str">
        <v>drama</v>
      </c>
    </row>
    <row r="642" spans="1:20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36"/>
        <v>0.16500000000000001</v>
      </c>
      <c r="G642" t="s">
        <v>14</v>
      </c>
      <c r="H642">
        <v>257</v>
      </c>
      <c r="I642" s="5">
        <f t="shared" si="37"/>
        <v>76.92</v>
      </c>
      <c r="J642" t="s">
        <v>21</v>
      </c>
      <c r="K642" t="s">
        <v>22</v>
      </c>
      <c r="L642">
        <v>1453096800</v>
      </c>
      <c r="M642" s="9">
        <f t="shared" si="38"/>
        <v>42387.25</v>
      </c>
      <c r="N642">
        <v>1453356000</v>
      </c>
      <c r="O642" s="9">
        <f t="shared" si="39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_xlfn.TEXTSPLIT(R642,"/")</f>
        <v>theater</v>
      </c>
      <c r="T642" t="str">
        <v>plays</v>
      </c>
    </row>
    <row r="643" spans="1:20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ref="F643:F706" si="40">ROUND(E643/D643,4)</f>
        <v>1.1997</v>
      </c>
      <c r="G643" t="s">
        <v>20</v>
      </c>
      <c r="H643">
        <v>194</v>
      </c>
      <c r="I643" s="5">
        <f t="shared" ref="I643:I706" si="41">IF(H643=0,"0",(ROUND(E643/H643,2)))</f>
        <v>58.13</v>
      </c>
      <c r="J643" t="s">
        <v>98</v>
      </c>
      <c r="K643" t="s">
        <v>99</v>
      </c>
      <c r="L643">
        <v>1487570400</v>
      </c>
      <c r="M643" s="9">
        <f t="shared" ref="M643:M706" si="42">(((L643/60)/60)/24)+DATE(1970,1,1)</f>
        <v>42786.25</v>
      </c>
      <c r="N643">
        <v>1489986000</v>
      </c>
      <c r="O643" s="9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_xlfn.TEXTSPLIT(R643,"/")</f>
        <v>theater</v>
      </c>
      <c r="T643" t="str">
        <v>plays</v>
      </c>
    </row>
    <row r="644" spans="1:20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si="40"/>
        <v>1.4545999999999999</v>
      </c>
      <c r="G644" t="s">
        <v>20</v>
      </c>
      <c r="H644">
        <v>129</v>
      </c>
      <c r="I644" s="5">
        <f t="shared" si="41"/>
        <v>103.74</v>
      </c>
      <c r="J644" t="s">
        <v>15</v>
      </c>
      <c r="K644" t="s">
        <v>16</v>
      </c>
      <c r="L644">
        <v>1545026400</v>
      </c>
      <c r="M644" s="9">
        <f t="shared" si="42"/>
        <v>43451.25</v>
      </c>
      <c r="N644">
        <v>1545804000</v>
      </c>
      <c r="O644" s="9">
        <f t="shared" si="43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_xlfn.TEXTSPLIT(R644,"/")</f>
        <v>technology</v>
      </c>
      <c r="T644" t="str">
        <v>wearables</v>
      </c>
    </row>
    <row r="645" spans="1:20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40"/>
        <v>2.2138</v>
      </c>
      <c r="G645" t="s">
        <v>20</v>
      </c>
      <c r="H645">
        <v>375</v>
      </c>
      <c r="I645" s="5">
        <f t="shared" si="41"/>
        <v>87.96</v>
      </c>
      <c r="J645" t="s">
        <v>21</v>
      </c>
      <c r="K645" t="s">
        <v>22</v>
      </c>
      <c r="L645">
        <v>1488348000</v>
      </c>
      <c r="M645" s="9">
        <f t="shared" si="42"/>
        <v>42795.25</v>
      </c>
      <c r="N645">
        <v>1489899600</v>
      </c>
      <c r="O645" s="9">
        <f t="shared" si="43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_xlfn.TEXTSPLIT(R645,"/")</f>
        <v>theater</v>
      </c>
      <c r="T645" t="str">
        <v>plays</v>
      </c>
    </row>
    <row r="646" spans="1:20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40"/>
        <v>0.48399999999999999</v>
      </c>
      <c r="G646" t="s">
        <v>14</v>
      </c>
      <c r="H646">
        <v>2928</v>
      </c>
      <c r="I646" s="5">
        <f t="shared" si="41"/>
        <v>28</v>
      </c>
      <c r="J646" t="s">
        <v>15</v>
      </c>
      <c r="K646" t="s">
        <v>16</v>
      </c>
      <c r="L646">
        <v>1545112800</v>
      </c>
      <c r="M646" s="9">
        <f t="shared" si="42"/>
        <v>43452.25</v>
      </c>
      <c r="N646">
        <v>1546495200</v>
      </c>
      <c r="O646" s="9">
        <f t="shared" si="43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_xlfn.TEXTSPLIT(R646,"/")</f>
        <v>theater</v>
      </c>
      <c r="T646" t="str">
        <v>plays</v>
      </c>
    </row>
    <row r="647" spans="1:20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40"/>
        <v>0.92910000000000004</v>
      </c>
      <c r="G647" t="s">
        <v>14</v>
      </c>
      <c r="H647">
        <v>4697</v>
      </c>
      <c r="I647" s="5">
        <f t="shared" si="41"/>
        <v>38</v>
      </c>
      <c r="J647" t="s">
        <v>21</v>
      </c>
      <c r="K647" t="s">
        <v>22</v>
      </c>
      <c r="L647">
        <v>1537938000</v>
      </c>
      <c r="M647" s="9">
        <f t="shared" si="42"/>
        <v>43369.208333333328</v>
      </c>
      <c r="N647">
        <v>1539752400</v>
      </c>
      <c r="O647" s="9">
        <f t="shared" si="43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_xlfn.TEXTSPLIT(R647,"/")</f>
        <v>music</v>
      </c>
      <c r="T647" t="str">
        <v>rock</v>
      </c>
    </row>
    <row r="648" spans="1:20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40"/>
        <v>0.88600000000000001</v>
      </c>
      <c r="G648" t="s">
        <v>14</v>
      </c>
      <c r="H648">
        <v>2915</v>
      </c>
      <c r="I648" s="5">
        <f t="shared" si="41"/>
        <v>30</v>
      </c>
      <c r="J648" t="s">
        <v>21</v>
      </c>
      <c r="K648" t="s">
        <v>22</v>
      </c>
      <c r="L648">
        <v>1363150800</v>
      </c>
      <c r="M648" s="9">
        <f t="shared" si="42"/>
        <v>41346.208333333336</v>
      </c>
      <c r="N648">
        <v>1364101200</v>
      </c>
      <c r="O648" s="9">
        <f t="shared" si="43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_xlfn.TEXTSPLIT(R648,"/")</f>
        <v>games</v>
      </c>
      <c r="T648" t="str">
        <v>video games</v>
      </c>
    </row>
    <row r="649" spans="1:20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40"/>
        <v>0.41399999999999998</v>
      </c>
      <c r="G649" t="s">
        <v>14</v>
      </c>
      <c r="H649">
        <v>18</v>
      </c>
      <c r="I649" s="5">
        <f t="shared" si="41"/>
        <v>103.5</v>
      </c>
      <c r="J649" t="s">
        <v>21</v>
      </c>
      <c r="K649" t="s">
        <v>22</v>
      </c>
      <c r="L649">
        <v>1523250000</v>
      </c>
      <c r="M649" s="9">
        <f t="shared" si="42"/>
        <v>43199.208333333328</v>
      </c>
      <c r="N649">
        <v>1525323600</v>
      </c>
      <c r="O649" s="9">
        <f t="shared" si="43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_xlfn.TEXTSPLIT(R649,"/")</f>
        <v>publishing</v>
      </c>
      <c r="T649" t="str">
        <v>translations</v>
      </c>
    </row>
    <row r="650" spans="1:20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40"/>
        <v>0.63060000000000005</v>
      </c>
      <c r="G650" t="s">
        <v>74</v>
      </c>
      <c r="H650">
        <v>723</v>
      </c>
      <c r="I650" s="5">
        <f t="shared" si="41"/>
        <v>85.99</v>
      </c>
      <c r="J650" t="s">
        <v>21</v>
      </c>
      <c r="K650" t="s">
        <v>22</v>
      </c>
      <c r="L650">
        <v>1499317200</v>
      </c>
      <c r="M650" s="9">
        <f t="shared" si="42"/>
        <v>42922.208333333328</v>
      </c>
      <c r="N650">
        <v>1500872400</v>
      </c>
      <c r="O650" s="9">
        <f t="shared" si="43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_xlfn.TEXTSPLIT(R650,"/")</f>
        <v>food</v>
      </c>
      <c r="T650" t="str">
        <v>food trucks</v>
      </c>
    </row>
    <row r="651" spans="1:20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40"/>
        <v>0.48480000000000001</v>
      </c>
      <c r="G651" t="s">
        <v>14</v>
      </c>
      <c r="H651">
        <v>602</v>
      </c>
      <c r="I651" s="5">
        <f t="shared" si="41"/>
        <v>98.01</v>
      </c>
      <c r="J651" t="s">
        <v>98</v>
      </c>
      <c r="K651" t="s">
        <v>99</v>
      </c>
      <c r="L651">
        <v>1287550800</v>
      </c>
      <c r="M651" s="9">
        <f t="shared" si="42"/>
        <v>40471.208333333336</v>
      </c>
      <c r="N651">
        <v>1288501200</v>
      </c>
      <c r="O651" s="9">
        <f t="shared" si="43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_xlfn.TEXTSPLIT(R651,"/")</f>
        <v>theater</v>
      </c>
      <c r="T651" t="str">
        <v>plays</v>
      </c>
    </row>
    <row r="652" spans="1:20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40"/>
        <v>0.02</v>
      </c>
      <c r="G652" t="s">
        <v>14</v>
      </c>
      <c r="H652">
        <v>1</v>
      </c>
      <c r="I652" s="5">
        <f t="shared" si="41"/>
        <v>2</v>
      </c>
      <c r="J652" t="s">
        <v>21</v>
      </c>
      <c r="K652" t="s">
        <v>22</v>
      </c>
      <c r="L652">
        <v>1404795600</v>
      </c>
      <c r="M652" s="9">
        <f t="shared" si="42"/>
        <v>41828.208333333336</v>
      </c>
      <c r="N652">
        <v>1407128400</v>
      </c>
      <c r="O652" s="9">
        <f t="shared" si="43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_xlfn.TEXTSPLIT(R652,"/")</f>
        <v>music</v>
      </c>
      <c r="T652" t="str">
        <v>jazz</v>
      </c>
    </row>
    <row r="653" spans="1:20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40"/>
        <v>0.88480000000000003</v>
      </c>
      <c r="G653" t="s">
        <v>14</v>
      </c>
      <c r="H653">
        <v>3868</v>
      </c>
      <c r="I653" s="5">
        <f t="shared" si="41"/>
        <v>44.99</v>
      </c>
      <c r="J653" t="s">
        <v>107</v>
      </c>
      <c r="K653" t="s">
        <v>108</v>
      </c>
      <c r="L653">
        <v>1393048800</v>
      </c>
      <c r="M653" s="9">
        <f t="shared" si="42"/>
        <v>41692.25</v>
      </c>
      <c r="N653">
        <v>1394344800</v>
      </c>
      <c r="O653" s="9">
        <f t="shared" si="43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_xlfn.TEXTSPLIT(R653,"/")</f>
        <v>film &amp; video</v>
      </c>
      <c r="T653" t="str">
        <v>shorts</v>
      </c>
    </row>
    <row r="654" spans="1:20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40"/>
        <v>1.2684</v>
      </c>
      <c r="G654" t="s">
        <v>20</v>
      </c>
      <c r="H654">
        <v>409</v>
      </c>
      <c r="I654" s="5">
        <f t="shared" si="41"/>
        <v>31.01</v>
      </c>
      <c r="J654" t="s">
        <v>21</v>
      </c>
      <c r="K654" t="s">
        <v>22</v>
      </c>
      <c r="L654">
        <v>1470373200</v>
      </c>
      <c r="M654" s="9">
        <f t="shared" si="42"/>
        <v>42587.208333333328</v>
      </c>
      <c r="N654">
        <v>1474088400</v>
      </c>
      <c r="O654" s="9">
        <f t="shared" si="43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_xlfn.TEXTSPLIT(R654,"/")</f>
        <v>technology</v>
      </c>
      <c r="T654" t="str">
        <v>web</v>
      </c>
    </row>
    <row r="655" spans="1:20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40"/>
        <v>23.388300000000001</v>
      </c>
      <c r="G655" t="s">
        <v>20</v>
      </c>
      <c r="H655">
        <v>234</v>
      </c>
      <c r="I655" s="5">
        <f t="shared" si="41"/>
        <v>59.97</v>
      </c>
      <c r="J655" t="s">
        <v>21</v>
      </c>
      <c r="K655" t="s">
        <v>22</v>
      </c>
      <c r="L655">
        <v>1460091600</v>
      </c>
      <c r="M655" s="9">
        <f t="shared" si="42"/>
        <v>42468.208333333328</v>
      </c>
      <c r="N655">
        <v>1460264400</v>
      </c>
      <c r="O655" s="9">
        <f t="shared" si="43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_xlfn.TEXTSPLIT(R655,"/")</f>
        <v>technology</v>
      </c>
      <c r="T655" t="str">
        <v>web</v>
      </c>
    </row>
    <row r="656" spans="1:20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40"/>
        <v>5.0838999999999999</v>
      </c>
      <c r="G656" t="s">
        <v>20</v>
      </c>
      <c r="H656">
        <v>3016</v>
      </c>
      <c r="I656" s="5">
        <f t="shared" si="41"/>
        <v>59</v>
      </c>
      <c r="J656" t="s">
        <v>21</v>
      </c>
      <c r="K656" t="s">
        <v>22</v>
      </c>
      <c r="L656">
        <v>1440392400</v>
      </c>
      <c r="M656" s="9">
        <f t="shared" si="42"/>
        <v>42240.208333333328</v>
      </c>
      <c r="N656">
        <v>1440824400</v>
      </c>
      <c r="O656" s="9">
        <f t="shared" si="43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_xlfn.TEXTSPLIT(R656,"/")</f>
        <v>music</v>
      </c>
      <c r="T656" t="str">
        <v>metal</v>
      </c>
    </row>
    <row r="657" spans="1:20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40"/>
        <v>1.9148000000000001</v>
      </c>
      <c r="G657" t="s">
        <v>20</v>
      </c>
      <c r="H657">
        <v>264</v>
      </c>
      <c r="I657" s="5">
        <f t="shared" si="41"/>
        <v>50.05</v>
      </c>
      <c r="J657" t="s">
        <v>21</v>
      </c>
      <c r="K657" t="s">
        <v>22</v>
      </c>
      <c r="L657">
        <v>1488434400</v>
      </c>
      <c r="M657" s="9">
        <f t="shared" si="42"/>
        <v>42796.25</v>
      </c>
      <c r="N657">
        <v>1489554000</v>
      </c>
      <c r="O657" s="9">
        <f t="shared" si="43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_xlfn.TEXTSPLIT(R657,"/")</f>
        <v>photography</v>
      </c>
      <c r="T657" t="str">
        <v>photography books</v>
      </c>
    </row>
    <row r="658" spans="1:20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40"/>
        <v>0.42130000000000001</v>
      </c>
      <c r="G658" t="s">
        <v>14</v>
      </c>
      <c r="H658">
        <v>504</v>
      </c>
      <c r="I658" s="5">
        <f t="shared" si="41"/>
        <v>98.97</v>
      </c>
      <c r="J658" t="s">
        <v>26</v>
      </c>
      <c r="K658" t="s">
        <v>27</v>
      </c>
      <c r="L658">
        <v>1514440800</v>
      </c>
      <c r="M658" s="9">
        <f t="shared" si="42"/>
        <v>43097.25</v>
      </c>
      <c r="N658">
        <v>1514872800</v>
      </c>
      <c r="O658" s="9">
        <f t="shared" si="43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_xlfn.TEXTSPLIT(R658,"/")</f>
        <v>food</v>
      </c>
      <c r="T658" t="str">
        <v>food trucks</v>
      </c>
    </row>
    <row r="659" spans="1:20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40"/>
        <v>8.2400000000000001E-2</v>
      </c>
      <c r="G659" t="s">
        <v>14</v>
      </c>
      <c r="H659">
        <v>14</v>
      </c>
      <c r="I659" s="5">
        <f t="shared" si="41"/>
        <v>58.86</v>
      </c>
      <c r="J659" t="s">
        <v>21</v>
      </c>
      <c r="K659" t="s">
        <v>22</v>
      </c>
      <c r="L659">
        <v>1514354400</v>
      </c>
      <c r="M659" s="9">
        <f t="shared" si="42"/>
        <v>43096.25</v>
      </c>
      <c r="N659">
        <v>1515736800</v>
      </c>
      <c r="O659" s="9">
        <f t="shared" si="43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_xlfn.TEXTSPLIT(R659,"/")</f>
        <v>film &amp; video</v>
      </c>
      <c r="T659" t="str">
        <v>science fiction</v>
      </c>
    </row>
    <row r="660" spans="1:20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40"/>
        <v>0.60060000000000002</v>
      </c>
      <c r="G660" t="s">
        <v>74</v>
      </c>
      <c r="H660">
        <v>390</v>
      </c>
      <c r="I660" s="5">
        <f t="shared" si="41"/>
        <v>81.010000000000005</v>
      </c>
      <c r="J660" t="s">
        <v>21</v>
      </c>
      <c r="K660" t="s">
        <v>22</v>
      </c>
      <c r="L660">
        <v>1440910800</v>
      </c>
      <c r="M660" s="9">
        <f t="shared" si="42"/>
        <v>42246.208333333328</v>
      </c>
      <c r="N660">
        <v>1442898000</v>
      </c>
      <c r="O660" s="9">
        <f t="shared" si="43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_xlfn.TEXTSPLIT(R660,"/")</f>
        <v>music</v>
      </c>
      <c r="T660" t="str">
        <v>rock</v>
      </c>
    </row>
    <row r="661" spans="1:20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40"/>
        <v>0.4723</v>
      </c>
      <c r="G661" t="s">
        <v>14</v>
      </c>
      <c r="H661">
        <v>750</v>
      </c>
      <c r="I661" s="5">
        <f t="shared" si="41"/>
        <v>76.010000000000005</v>
      </c>
      <c r="J661" t="s">
        <v>40</v>
      </c>
      <c r="K661" t="s">
        <v>41</v>
      </c>
      <c r="L661">
        <v>1296108000</v>
      </c>
      <c r="M661" s="9">
        <f t="shared" si="42"/>
        <v>40570.25</v>
      </c>
      <c r="N661">
        <v>1296194400</v>
      </c>
      <c r="O661" s="9">
        <f t="shared" si="43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_xlfn.TEXTSPLIT(R661,"/")</f>
        <v>film &amp; video</v>
      </c>
      <c r="T661" t="str">
        <v>documentary</v>
      </c>
    </row>
    <row r="662" spans="1:20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40"/>
        <v>0.81740000000000002</v>
      </c>
      <c r="G662" t="s">
        <v>14</v>
      </c>
      <c r="H662">
        <v>77</v>
      </c>
      <c r="I662" s="5">
        <f t="shared" si="41"/>
        <v>96.6</v>
      </c>
      <c r="J662" t="s">
        <v>21</v>
      </c>
      <c r="K662" t="s">
        <v>22</v>
      </c>
      <c r="L662">
        <v>1440133200</v>
      </c>
      <c r="M662" s="9">
        <f t="shared" si="42"/>
        <v>42237.208333333328</v>
      </c>
      <c r="N662">
        <v>1440910800</v>
      </c>
      <c r="O662" s="9">
        <f t="shared" si="43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_xlfn.TEXTSPLIT(R662,"/")</f>
        <v>theater</v>
      </c>
      <c r="T662" t="str">
        <v>plays</v>
      </c>
    </row>
    <row r="663" spans="1:20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40"/>
        <v>0.54190000000000005</v>
      </c>
      <c r="G663" t="s">
        <v>14</v>
      </c>
      <c r="H663">
        <v>752</v>
      </c>
      <c r="I663" s="5">
        <f t="shared" si="41"/>
        <v>76.959999999999994</v>
      </c>
      <c r="J663" t="s">
        <v>36</v>
      </c>
      <c r="K663" t="s">
        <v>37</v>
      </c>
      <c r="L663">
        <v>1332910800</v>
      </c>
      <c r="M663" s="9">
        <f t="shared" si="42"/>
        <v>40996.208333333336</v>
      </c>
      <c r="N663">
        <v>1335502800</v>
      </c>
      <c r="O663" s="9">
        <f t="shared" si="43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_xlfn.TEXTSPLIT(R663,"/")</f>
        <v>music</v>
      </c>
      <c r="T663" t="str">
        <v>jazz</v>
      </c>
    </row>
    <row r="664" spans="1:20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40"/>
        <v>0.97870000000000001</v>
      </c>
      <c r="G664" t="s">
        <v>14</v>
      </c>
      <c r="H664">
        <v>131</v>
      </c>
      <c r="I664" s="5">
        <f t="shared" si="41"/>
        <v>67.98</v>
      </c>
      <c r="J664" t="s">
        <v>21</v>
      </c>
      <c r="K664" t="s">
        <v>22</v>
      </c>
      <c r="L664">
        <v>1544335200</v>
      </c>
      <c r="M664" s="9">
        <f t="shared" si="42"/>
        <v>43443.25</v>
      </c>
      <c r="N664">
        <v>1544680800</v>
      </c>
      <c r="O664" s="9">
        <f t="shared" si="43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_xlfn.TEXTSPLIT(R664,"/")</f>
        <v>theater</v>
      </c>
      <c r="T664" t="str">
        <v>plays</v>
      </c>
    </row>
    <row r="665" spans="1:20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40"/>
        <v>0.77239999999999998</v>
      </c>
      <c r="G665" t="s">
        <v>14</v>
      </c>
      <c r="H665">
        <v>87</v>
      </c>
      <c r="I665" s="5">
        <f t="shared" si="41"/>
        <v>88.78</v>
      </c>
      <c r="J665" t="s">
        <v>21</v>
      </c>
      <c r="K665" t="s">
        <v>22</v>
      </c>
      <c r="L665">
        <v>1286427600</v>
      </c>
      <c r="M665" s="9">
        <f t="shared" si="42"/>
        <v>40458.208333333336</v>
      </c>
      <c r="N665">
        <v>1288414800</v>
      </c>
      <c r="O665" s="9">
        <f t="shared" si="43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_xlfn.TEXTSPLIT(R665,"/")</f>
        <v>theater</v>
      </c>
      <c r="T665" t="str">
        <v>plays</v>
      </c>
    </row>
    <row r="666" spans="1:20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40"/>
        <v>0.33460000000000001</v>
      </c>
      <c r="G666" t="s">
        <v>14</v>
      </c>
      <c r="H666">
        <v>1063</v>
      </c>
      <c r="I666" s="5">
        <f t="shared" si="41"/>
        <v>25</v>
      </c>
      <c r="J666" t="s">
        <v>21</v>
      </c>
      <c r="K666" t="s">
        <v>22</v>
      </c>
      <c r="L666">
        <v>1329717600</v>
      </c>
      <c r="M666" s="9">
        <f t="shared" si="42"/>
        <v>40959.25</v>
      </c>
      <c r="N666">
        <v>1330581600</v>
      </c>
      <c r="O666" s="9">
        <f t="shared" si="43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_xlfn.TEXTSPLIT(R666,"/")</f>
        <v>music</v>
      </c>
      <c r="T666" t="str">
        <v>jazz</v>
      </c>
    </row>
    <row r="667" spans="1:20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40"/>
        <v>2.3959000000000001</v>
      </c>
      <c r="G667" t="s">
        <v>20</v>
      </c>
      <c r="H667">
        <v>272</v>
      </c>
      <c r="I667" s="5">
        <f t="shared" si="41"/>
        <v>44.92</v>
      </c>
      <c r="J667" t="s">
        <v>21</v>
      </c>
      <c r="K667" t="s">
        <v>22</v>
      </c>
      <c r="L667">
        <v>1310187600</v>
      </c>
      <c r="M667" s="9">
        <f t="shared" si="42"/>
        <v>40733.208333333336</v>
      </c>
      <c r="N667">
        <v>1311397200</v>
      </c>
      <c r="O667" s="9">
        <f t="shared" si="43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_xlfn.TEXTSPLIT(R667,"/")</f>
        <v>film &amp; video</v>
      </c>
      <c r="T667" t="str">
        <v>documentary</v>
      </c>
    </row>
    <row r="668" spans="1:20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40"/>
        <v>0.64029999999999998</v>
      </c>
      <c r="G668" t="s">
        <v>74</v>
      </c>
      <c r="H668">
        <v>25</v>
      </c>
      <c r="I668" s="5">
        <f t="shared" si="41"/>
        <v>79.400000000000006</v>
      </c>
      <c r="J668" t="s">
        <v>21</v>
      </c>
      <c r="K668" t="s">
        <v>22</v>
      </c>
      <c r="L668">
        <v>1377838800</v>
      </c>
      <c r="M668" s="9">
        <f t="shared" si="42"/>
        <v>41516.208333333336</v>
      </c>
      <c r="N668">
        <v>1378357200</v>
      </c>
      <c r="O668" s="9">
        <f t="shared" si="43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_xlfn.TEXTSPLIT(R668,"/")</f>
        <v>theater</v>
      </c>
      <c r="T668" t="str">
        <v>plays</v>
      </c>
    </row>
    <row r="669" spans="1:20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40"/>
        <v>1.7616000000000001</v>
      </c>
      <c r="G669" t="s">
        <v>20</v>
      </c>
      <c r="H669">
        <v>419</v>
      </c>
      <c r="I669" s="5">
        <f t="shared" si="41"/>
        <v>29.01</v>
      </c>
      <c r="J669" t="s">
        <v>21</v>
      </c>
      <c r="K669" t="s">
        <v>22</v>
      </c>
      <c r="L669">
        <v>1410325200</v>
      </c>
      <c r="M669" s="9">
        <f t="shared" si="42"/>
        <v>41892.208333333336</v>
      </c>
      <c r="N669">
        <v>1411102800</v>
      </c>
      <c r="O669" s="9">
        <f t="shared" si="43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_xlfn.TEXTSPLIT(R669,"/")</f>
        <v>journalism</v>
      </c>
      <c r="T669" t="str">
        <v>audio</v>
      </c>
    </row>
    <row r="670" spans="1:20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40"/>
        <v>0.2034</v>
      </c>
      <c r="G670" t="s">
        <v>14</v>
      </c>
      <c r="H670">
        <v>76</v>
      </c>
      <c r="I670" s="5">
        <f t="shared" si="41"/>
        <v>73.59</v>
      </c>
      <c r="J670" t="s">
        <v>21</v>
      </c>
      <c r="K670" t="s">
        <v>22</v>
      </c>
      <c r="L670">
        <v>1343797200</v>
      </c>
      <c r="M670" s="9">
        <f t="shared" si="42"/>
        <v>41122.208333333336</v>
      </c>
      <c r="N670">
        <v>1344834000</v>
      </c>
      <c r="O670" s="9">
        <f t="shared" si="43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_xlfn.TEXTSPLIT(R670,"/")</f>
        <v>theater</v>
      </c>
      <c r="T670" t="str">
        <v>plays</v>
      </c>
    </row>
    <row r="671" spans="1:20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40"/>
        <v>3.5865</v>
      </c>
      <c r="G671" t="s">
        <v>20</v>
      </c>
      <c r="H671">
        <v>1621</v>
      </c>
      <c r="I671" s="5">
        <f t="shared" si="41"/>
        <v>107.97</v>
      </c>
      <c r="J671" t="s">
        <v>107</v>
      </c>
      <c r="K671" t="s">
        <v>108</v>
      </c>
      <c r="L671">
        <v>1498453200</v>
      </c>
      <c r="M671" s="9">
        <f t="shared" si="42"/>
        <v>42912.208333333328</v>
      </c>
      <c r="N671">
        <v>1499230800</v>
      </c>
      <c r="O671" s="9">
        <f t="shared" si="43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_xlfn.TEXTSPLIT(R671,"/")</f>
        <v>theater</v>
      </c>
      <c r="T671" t="str">
        <v>plays</v>
      </c>
    </row>
    <row r="672" spans="1:20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40"/>
        <v>4.6886000000000001</v>
      </c>
      <c r="G672" t="s">
        <v>20</v>
      </c>
      <c r="H672">
        <v>1101</v>
      </c>
      <c r="I672" s="5">
        <f t="shared" si="41"/>
        <v>68.989999999999995</v>
      </c>
      <c r="J672" t="s">
        <v>21</v>
      </c>
      <c r="K672" t="s">
        <v>22</v>
      </c>
      <c r="L672">
        <v>1456380000</v>
      </c>
      <c r="M672" s="9">
        <f t="shared" si="42"/>
        <v>42425.25</v>
      </c>
      <c r="N672">
        <v>1457416800</v>
      </c>
      <c r="O672" s="9">
        <f t="shared" si="43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_xlfn.TEXTSPLIT(R672,"/")</f>
        <v>music</v>
      </c>
      <c r="T672" t="str">
        <v>indie rock</v>
      </c>
    </row>
    <row r="673" spans="1:20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40"/>
        <v>1.2205999999999999</v>
      </c>
      <c r="G673" t="s">
        <v>20</v>
      </c>
      <c r="H673">
        <v>1073</v>
      </c>
      <c r="I673" s="5">
        <f t="shared" si="41"/>
        <v>111.02</v>
      </c>
      <c r="J673" t="s">
        <v>21</v>
      </c>
      <c r="K673" t="s">
        <v>22</v>
      </c>
      <c r="L673">
        <v>1280552400</v>
      </c>
      <c r="M673" s="9">
        <f t="shared" si="42"/>
        <v>40390.208333333336</v>
      </c>
      <c r="N673">
        <v>1280898000</v>
      </c>
      <c r="O673" s="9">
        <f t="shared" si="43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_xlfn.TEXTSPLIT(R673,"/")</f>
        <v>theater</v>
      </c>
      <c r="T673" t="str">
        <v>plays</v>
      </c>
    </row>
    <row r="674" spans="1:20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40"/>
        <v>0.55930000000000002</v>
      </c>
      <c r="G674" t="s">
        <v>14</v>
      </c>
      <c r="H674">
        <v>4428</v>
      </c>
      <c r="I674" s="5">
        <f t="shared" si="41"/>
        <v>25</v>
      </c>
      <c r="J674" t="s">
        <v>26</v>
      </c>
      <c r="K674" t="s">
        <v>27</v>
      </c>
      <c r="L674">
        <v>1521608400</v>
      </c>
      <c r="M674" s="9">
        <f t="shared" si="42"/>
        <v>43180.208333333328</v>
      </c>
      <c r="N674">
        <v>1522472400</v>
      </c>
      <c r="O674" s="9">
        <f t="shared" si="43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_xlfn.TEXTSPLIT(R674,"/")</f>
        <v>theater</v>
      </c>
      <c r="T674" t="str">
        <v>plays</v>
      </c>
    </row>
    <row r="675" spans="1:20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40"/>
        <v>0.43659999999999999</v>
      </c>
      <c r="G675" t="s">
        <v>14</v>
      </c>
      <c r="H675">
        <v>58</v>
      </c>
      <c r="I675" s="5">
        <f t="shared" si="41"/>
        <v>42.16</v>
      </c>
      <c r="J675" t="s">
        <v>107</v>
      </c>
      <c r="K675" t="s">
        <v>108</v>
      </c>
      <c r="L675">
        <v>1460696400</v>
      </c>
      <c r="M675" s="9">
        <f t="shared" si="42"/>
        <v>42475.208333333328</v>
      </c>
      <c r="N675">
        <v>1462510800</v>
      </c>
      <c r="O675" s="9">
        <f t="shared" si="43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_xlfn.TEXTSPLIT(R675,"/")</f>
        <v>music</v>
      </c>
      <c r="T675" t="str">
        <v>indie rock</v>
      </c>
    </row>
    <row r="676" spans="1:20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40"/>
        <v>0.33539999999999998</v>
      </c>
      <c r="G676" t="s">
        <v>74</v>
      </c>
      <c r="H676">
        <v>1218</v>
      </c>
      <c r="I676" s="5">
        <f t="shared" si="41"/>
        <v>47</v>
      </c>
      <c r="J676" t="s">
        <v>21</v>
      </c>
      <c r="K676" t="s">
        <v>22</v>
      </c>
      <c r="L676">
        <v>1313730000</v>
      </c>
      <c r="M676" s="9">
        <f t="shared" si="42"/>
        <v>40774.208333333336</v>
      </c>
      <c r="N676">
        <v>1317790800</v>
      </c>
      <c r="O676" s="9">
        <f t="shared" si="43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_xlfn.TEXTSPLIT(R676,"/")</f>
        <v>photography</v>
      </c>
      <c r="T676" t="str">
        <v>photography books</v>
      </c>
    </row>
    <row r="677" spans="1:20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40"/>
        <v>1.2298</v>
      </c>
      <c r="G677" t="s">
        <v>20</v>
      </c>
      <c r="H677">
        <v>331</v>
      </c>
      <c r="I677" s="5">
        <f t="shared" si="41"/>
        <v>36.04</v>
      </c>
      <c r="J677" t="s">
        <v>21</v>
      </c>
      <c r="K677" t="s">
        <v>22</v>
      </c>
      <c r="L677">
        <v>1568178000</v>
      </c>
      <c r="M677" s="9">
        <f t="shared" si="42"/>
        <v>43719.208333333328</v>
      </c>
      <c r="N677">
        <v>1568782800</v>
      </c>
      <c r="O677" s="9">
        <f t="shared" si="43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_xlfn.TEXTSPLIT(R677,"/")</f>
        <v>journalism</v>
      </c>
      <c r="T677" t="str">
        <v>audio</v>
      </c>
    </row>
    <row r="678" spans="1:20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40"/>
        <v>1.8975</v>
      </c>
      <c r="G678" t="s">
        <v>20</v>
      </c>
      <c r="H678">
        <v>1170</v>
      </c>
      <c r="I678" s="5">
        <f t="shared" si="41"/>
        <v>101.04</v>
      </c>
      <c r="J678" t="s">
        <v>21</v>
      </c>
      <c r="K678" t="s">
        <v>22</v>
      </c>
      <c r="L678">
        <v>1348635600</v>
      </c>
      <c r="M678" s="9">
        <f t="shared" si="42"/>
        <v>41178.208333333336</v>
      </c>
      <c r="N678">
        <v>1349413200</v>
      </c>
      <c r="O678" s="9">
        <f t="shared" si="43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_xlfn.TEXTSPLIT(R678,"/")</f>
        <v>photography</v>
      </c>
      <c r="T678" t="str">
        <v>photography books</v>
      </c>
    </row>
    <row r="679" spans="1:20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40"/>
        <v>0.83620000000000005</v>
      </c>
      <c r="G679" t="s">
        <v>14</v>
      </c>
      <c r="H679">
        <v>111</v>
      </c>
      <c r="I679" s="5">
        <f t="shared" si="41"/>
        <v>39.93</v>
      </c>
      <c r="J679" t="s">
        <v>21</v>
      </c>
      <c r="K679" t="s">
        <v>22</v>
      </c>
      <c r="L679">
        <v>1468126800</v>
      </c>
      <c r="M679" s="9">
        <f t="shared" si="42"/>
        <v>42561.208333333328</v>
      </c>
      <c r="N679">
        <v>1472446800</v>
      </c>
      <c r="O679" s="9">
        <f t="shared" si="43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_xlfn.TEXTSPLIT(R679,"/")</f>
        <v>publishing</v>
      </c>
      <c r="T679" t="str">
        <v>fiction</v>
      </c>
    </row>
    <row r="680" spans="1:20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40"/>
        <v>0.1797</v>
      </c>
      <c r="G680" t="s">
        <v>74</v>
      </c>
      <c r="H680">
        <v>215</v>
      </c>
      <c r="I680" s="5">
        <f t="shared" si="41"/>
        <v>83.16</v>
      </c>
      <c r="J680" t="s">
        <v>21</v>
      </c>
      <c r="K680" t="s">
        <v>22</v>
      </c>
      <c r="L680">
        <v>1547877600</v>
      </c>
      <c r="M680" s="9">
        <f t="shared" si="42"/>
        <v>43484.25</v>
      </c>
      <c r="N680">
        <v>1548050400</v>
      </c>
      <c r="O680" s="9">
        <f t="shared" si="43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_xlfn.TEXTSPLIT(R680,"/")</f>
        <v>film &amp; video</v>
      </c>
      <c r="T680" t="str">
        <v>drama</v>
      </c>
    </row>
    <row r="681" spans="1:20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40"/>
        <v>10.365</v>
      </c>
      <c r="G681" t="s">
        <v>20</v>
      </c>
      <c r="H681">
        <v>363</v>
      </c>
      <c r="I681" s="5">
        <f t="shared" si="41"/>
        <v>39.979999999999997</v>
      </c>
      <c r="J681" t="s">
        <v>21</v>
      </c>
      <c r="K681" t="s">
        <v>22</v>
      </c>
      <c r="L681">
        <v>1571374800</v>
      </c>
      <c r="M681" s="9">
        <f t="shared" si="42"/>
        <v>43756.208333333328</v>
      </c>
      <c r="N681">
        <v>1571806800</v>
      </c>
      <c r="O681" s="9">
        <f t="shared" si="43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_xlfn.TEXTSPLIT(R681,"/")</f>
        <v>food</v>
      </c>
      <c r="T681" t="str">
        <v>food trucks</v>
      </c>
    </row>
    <row r="682" spans="1:20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40"/>
        <v>0.97409999999999997</v>
      </c>
      <c r="G682" t="s">
        <v>14</v>
      </c>
      <c r="H682">
        <v>2955</v>
      </c>
      <c r="I682" s="5">
        <f t="shared" si="41"/>
        <v>47.99</v>
      </c>
      <c r="J682" t="s">
        <v>21</v>
      </c>
      <c r="K682" t="s">
        <v>22</v>
      </c>
      <c r="L682">
        <v>1576303200</v>
      </c>
      <c r="M682" s="9">
        <f t="shared" si="42"/>
        <v>43813.25</v>
      </c>
      <c r="N682">
        <v>1576476000</v>
      </c>
      <c r="O682" s="9">
        <f t="shared" si="43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_xlfn.TEXTSPLIT(R682,"/")</f>
        <v>games</v>
      </c>
      <c r="T682" t="str">
        <v>mobile games</v>
      </c>
    </row>
    <row r="683" spans="1:20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40"/>
        <v>0.8639</v>
      </c>
      <c r="G683" t="s">
        <v>14</v>
      </c>
      <c r="H683">
        <v>1657</v>
      </c>
      <c r="I683" s="5">
        <f t="shared" si="41"/>
        <v>95.98</v>
      </c>
      <c r="J683" t="s">
        <v>21</v>
      </c>
      <c r="K683" t="s">
        <v>22</v>
      </c>
      <c r="L683">
        <v>1324447200</v>
      </c>
      <c r="M683" s="9">
        <f t="shared" si="42"/>
        <v>40898.25</v>
      </c>
      <c r="N683">
        <v>1324965600</v>
      </c>
      <c r="O683" s="9">
        <f t="shared" si="43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_xlfn.TEXTSPLIT(R683,"/")</f>
        <v>theater</v>
      </c>
      <c r="T683" t="str">
        <v>plays</v>
      </c>
    </row>
    <row r="684" spans="1:20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40"/>
        <v>1.5017</v>
      </c>
      <c r="G684" t="s">
        <v>20</v>
      </c>
      <c r="H684">
        <v>103</v>
      </c>
      <c r="I684" s="5">
        <f t="shared" si="41"/>
        <v>78.73</v>
      </c>
      <c r="J684" t="s">
        <v>21</v>
      </c>
      <c r="K684" t="s">
        <v>22</v>
      </c>
      <c r="L684">
        <v>1386741600</v>
      </c>
      <c r="M684" s="9">
        <f t="shared" si="42"/>
        <v>41619.25</v>
      </c>
      <c r="N684">
        <v>1387519200</v>
      </c>
      <c r="O684" s="9">
        <f t="shared" si="43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_xlfn.TEXTSPLIT(R684,"/")</f>
        <v>theater</v>
      </c>
      <c r="T684" t="str">
        <v>plays</v>
      </c>
    </row>
    <row r="685" spans="1:20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40"/>
        <v>3.5842999999999998</v>
      </c>
      <c r="G685" t="s">
        <v>20</v>
      </c>
      <c r="H685">
        <v>147</v>
      </c>
      <c r="I685" s="5">
        <f t="shared" si="41"/>
        <v>56.08</v>
      </c>
      <c r="J685" t="s">
        <v>21</v>
      </c>
      <c r="K685" t="s">
        <v>22</v>
      </c>
      <c r="L685">
        <v>1537074000</v>
      </c>
      <c r="M685" s="9">
        <f t="shared" si="42"/>
        <v>43359.208333333328</v>
      </c>
      <c r="N685">
        <v>1537246800</v>
      </c>
      <c r="O685" s="9">
        <f t="shared" si="43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_xlfn.TEXTSPLIT(R685,"/")</f>
        <v>theater</v>
      </c>
      <c r="T685" t="str">
        <v>plays</v>
      </c>
    </row>
    <row r="686" spans="1:20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40"/>
        <v>5.4286000000000003</v>
      </c>
      <c r="G686" t="s">
        <v>20</v>
      </c>
      <c r="H686">
        <v>110</v>
      </c>
      <c r="I686" s="5">
        <f t="shared" si="41"/>
        <v>69.09</v>
      </c>
      <c r="J686" t="s">
        <v>15</v>
      </c>
      <c r="K686" t="s">
        <v>16</v>
      </c>
      <c r="L686">
        <v>1277787600</v>
      </c>
      <c r="M686" s="9">
        <f t="shared" si="42"/>
        <v>40358.208333333336</v>
      </c>
      <c r="N686">
        <v>1279515600</v>
      </c>
      <c r="O686" s="9">
        <f t="shared" si="43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_xlfn.TEXTSPLIT(R686,"/")</f>
        <v>publishing</v>
      </c>
      <c r="T686" t="str">
        <v>nonfiction</v>
      </c>
    </row>
    <row r="687" spans="1:20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40"/>
        <v>0.67500000000000004</v>
      </c>
      <c r="G687" t="s">
        <v>14</v>
      </c>
      <c r="H687">
        <v>926</v>
      </c>
      <c r="I687" s="5">
        <f t="shared" si="41"/>
        <v>102.05</v>
      </c>
      <c r="J687" t="s">
        <v>15</v>
      </c>
      <c r="K687" t="s">
        <v>16</v>
      </c>
      <c r="L687">
        <v>1440306000</v>
      </c>
      <c r="M687" s="9">
        <f t="shared" si="42"/>
        <v>42239.208333333328</v>
      </c>
      <c r="N687">
        <v>1442379600</v>
      </c>
      <c r="O687" s="9">
        <f t="shared" si="43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_xlfn.TEXTSPLIT(R687,"/")</f>
        <v>theater</v>
      </c>
      <c r="T687" t="str">
        <v>plays</v>
      </c>
    </row>
    <row r="688" spans="1:20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40"/>
        <v>1.9175</v>
      </c>
      <c r="G688" t="s">
        <v>20</v>
      </c>
      <c r="H688">
        <v>134</v>
      </c>
      <c r="I688" s="5">
        <f t="shared" si="41"/>
        <v>107.32</v>
      </c>
      <c r="J688" t="s">
        <v>21</v>
      </c>
      <c r="K688" t="s">
        <v>22</v>
      </c>
      <c r="L688">
        <v>1522126800</v>
      </c>
      <c r="M688" s="9">
        <f t="shared" si="42"/>
        <v>43186.208333333328</v>
      </c>
      <c r="N688">
        <v>1523077200</v>
      </c>
      <c r="O688" s="9">
        <f t="shared" si="43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_xlfn.TEXTSPLIT(R688,"/")</f>
        <v>technology</v>
      </c>
      <c r="T688" t="str">
        <v>wearables</v>
      </c>
    </row>
    <row r="689" spans="1:20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40"/>
        <v>9.32</v>
      </c>
      <c r="G689" t="s">
        <v>20</v>
      </c>
      <c r="H689">
        <v>269</v>
      </c>
      <c r="I689" s="5">
        <f t="shared" si="41"/>
        <v>51.97</v>
      </c>
      <c r="J689" t="s">
        <v>21</v>
      </c>
      <c r="K689" t="s">
        <v>22</v>
      </c>
      <c r="L689">
        <v>1489298400</v>
      </c>
      <c r="M689" s="9">
        <f t="shared" si="42"/>
        <v>42806.25</v>
      </c>
      <c r="N689">
        <v>1489554000</v>
      </c>
      <c r="O689" s="9">
        <f t="shared" si="43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_xlfn.TEXTSPLIT(R689,"/")</f>
        <v>theater</v>
      </c>
      <c r="T689" t="str">
        <v>plays</v>
      </c>
    </row>
    <row r="690" spans="1:20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40"/>
        <v>4.2927999999999997</v>
      </c>
      <c r="G690" t="s">
        <v>20</v>
      </c>
      <c r="H690">
        <v>175</v>
      </c>
      <c r="I690" s="5">
        <f t="shared" si="41"/>
        <v>71.14</v>
      </c>
      <c r="J690" t="s">
        <v>21</v>
      </c>
      <c r="K690" t="s">
        <v>22</v>
      </c>
      <c r="L690">
        <v>1547100000</v>
      </c>
      <c r="M690" s="9">
        <f t="shared" si="42"/>
        <v>43475.25</v>
      </c>
      <c r="N690">
        <v>1548482400</v>
      </c>
      <c r="O690" s="9">
        <f t="shared" si="43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_xlfn.TEXTSPLIT(R690,"/")</f>
        <v>film &amp; video</v>
      </c>
      <c r="T690" t="str">
        <v>television</v>
      </c>
    </row>
    <row r="691" spans="1:20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40"/>
        <v>1.0065999999999999</v>
      </c>
      <c r="G691" t="s">
        <v>20</v>
      </c>
      <c r="H691">
        <v>69</v>
      </c>
      <c r="I691" s="5">
        <f t="shared" si="41"/>
        <v>106.49</v>
      </c>
      <c r="J691" t="s">
        <v>21</v>
      </c>
      <c r="K691" t="s">
        <v>22</v>
      </c>
      <c r="L691">
        <v>1383022800</v>
      </c>
      <c r="M691" s="9">
        <f t="shared" si="42"/>
        <v>41576.208333333336</v>
      </c>
      <c r="N691">
        <v>1384063200</v>
      </c>
      <c r="O691" s="9">
        <f t="shared" si="43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_xlfn.TEXTSPLIT(R691,"/")</f>
        <v>technology</v>
      </c>
      <c r="T691" t="str">
        <v>web</v>
      </c>
    </row>
    <row r="692" spans="1:20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40"/>
        <v>2.2660999999999998</v>
      </c>
      <c r="G692" t="s">
        <v>20</v>
      </c>
      <c r="H692">
        <v>190</v>
      </c>
      <c r="I692" s="5">
        <f t="shared" si="41"/>
        <v>42.94</v>
      </c>
      <c r="J692" t="s">
        <v>21</v>
      </c>
      <c r="K692" t="s">
        <v>22</v>
      </c>
      <c r="L692">
        <v>1322373600</v>
      </c>
      <c r="M692" s="9">
        <f t="shared" si="42"/>
        <v>40874.25</v>
      </c>
      <c r="N692">
        <v>1322892000</v>
      </c>
      <c r="O692" s="9">
        <f t="shared" si="43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_xlfn.TEXTSPLIT(R692,"/")</f>
        <v>film &amp; video</v>
      </c>
      <c r="T692" t="str">
        <v>documentary</v>
      </c>
    </row>
    <row r="693" spans="1:20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40"/>
        <v>1.4238</v>
      </c>
      <c r="G693" t="s">
        <v>20</v>
      </c>
      <c r="H693">
        <v>237</v>
      </c>
      <c r="I693" s="5">
        <f t="shared" si="41"/>
        <v>30.04</v>
      </c>
      <c r="J693" t="s">
        <v>21</v>
      </c>
      <c r="K693" t="s">
        <v>22</v>
      </c>
      <c r="L693">
        <v>1349240400</v>
      </c>
      <c r="M693" s="9">
        <f t="shared" si="42"/>
        <v>41185.208333333336</v>
      </c>
      <c r="N693">
        <v>1350709200</v>
      </c>
      <c r="O693" s="9">
        <f t="shared" si="43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_xlfn.TEXTSPLIT(R693,"/")</f>
        <v>film &amp; video</v>
      </c>
      <c r="T693" t="str">
        <v>documentary</v>
      </c>
    </row>
    <row r="694" spans="1:20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40"/>
        <v>0.90629999999999999</v>
      </c>
      <c r="G694" t="s">
        <v>14</v>
      </c>
      <c r="H694">
        <v>77</v>
      </c>
      <c r="I694" s="5">
        <f t="shared" si="41"/>
        <v>70.62</v>
      </c>
      <c r="J694" t="s">
        <v>40</v>
      </c>
      <c r="K694" t="s">
        <v>41</v>
      </c>
      <c r="L694">
        <v>1562648400</v>
      </c>
      <c r="M694" s="9">
        <f t="shared" si="42"/>
        <v>43655.208333333328</v>
      </c>
      <c r="N694">
        <v>1564203600</v>
      </c>
      <c r="O694" s="9">
        <f t="shared" si="43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_xlfn.TEXTSPLIT(R694,"/")</f>
        <v>music</v>
      </c>
      <c r="T694" t="str">
        <v>rock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40"/>
        <v>0.63970000000000005</v>
      </c>
      <c r="G695" t="s">
        <v>14</v>
      </c>
      <c r="H695">
        <v>1748</v>
      </c>
      <c r="I695" s="5">
        <f t="shared" si="41"/>
        <v>66.02</v>
      </c>
      <c r="J695" t="s">
        <v>21</v>
      </c>
      <c r="K695" t="s">
        <v>22</v>
      </c>
      <c r="L695">
        <v>1508216400</v>
      </c>
      <c r="M695" s="9">
        <f t="shared" si="42"/>
        <v>43025.208333333328</v>
      </c>
      <c r="N695">
        <v>1509685200</v>
      </c>
      <c r="O695" s="9">
        <f t="shared" si="43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_xlfn.TEXTSPLIT(R695,"/")</f>
        <v>theater</v>
      </c>
      <c r="T695" t="str">
        <v>plays</v>
      </c>
    </row>
    <row r="696" spans="1:20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40"/>
        <v>0.84130000000000005</v>
      </c>
      <c r="G696" t="s">
        <v>14</v>
      </c>
      <c r="H696">
        <v>79</v>
      </c>
      <c r="I696" s="5">
        <f t="shared" si="41"/>
        <v>96.91</v>
      </c>
      <c r="J696" t="s">
        <v>21</v>
      </c>
      <c r="K696" t="s">
        <v>22</v>
      </c>
      <c r="L696">
        <v>1511762400</v>
      </c>
      <c r="M696" s="9">
        <f t="shared" si="42"/>
        <v>43066.25</v>
      </c>
      <c r="N696">
        <v>1514959200</v>
      </c>
      <c r="O696" s="9">
        <f t="shared" si="43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_xlfn.TEXTSPLIT(R696,"/")</f>
        <v>theater</v>
      </c>
      <c r="T696" t="str">
        <v>plays</v>
      </c>
    </row>
    <row r="697" spans="1:20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40"/>
        <v>1.3392999999999999</v>
      </c>
      <c r="G697" t="s">
        <v>20</v>
      </c>
      <c r="H697">
        <v>196</v>
      </c>
      <c r="I697" s="5">
        <f t="shared" si="41"/>
        <v>62.87</v>
      </c>
      <c r="J697" t="s">
        <v>107</v>
      </c>
      <c r="K697" t="s">
        <v>108</v>
      </c>
      <c r="L697">
        <v>1447480800</v>
      </c>
      <c r="M697" s="9">
        <f t="shared" si="42"/>
        <v>42322.25</v>
      </c>
      <c r="N697">
        <v>1448863200</v>
      </c>
      <c r="O697" s="9">
        <f t="shared" si="43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_xlfn.TEXTSPLIT(R697,"/")</f>
        <v>music</v>
      </c>
      <c r="T697" t="str">
        <v>rock</v>
      </c>
    </row>
    <row r="698" spans="1:20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40"/>
        <v>0.59040000000000004</v>
      </c>
      <c r="G698" t="s">
        <v>14</v>
      </c>
      <c r="H698">
        <v>889</v>
      </c>
      <c r="I698" s="5">
        <f t="shared" si="41"/>
        <v>108.99</v>
      </c>
      <c r="J698" t="s">
        <v>21</v>
      </c>
      <c r="K698" t="s">
        <v>22</v>
      </c>
      <c r="L698">
        <v>1429506000</v>
      </c>
      <c r="M698" s="9">
        <f t="shared" si="42"/>
        <v>42114.208333333328</v>
      </c>
      <c r="N698">
        <v>1429592400</v>
      </c>
      <c r="O698" s="9">
        <f t="shared" si="43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_xlfn.TEXTSPLIT(R698,"/")</f>
        <v>theater</v>
      </c>
      <c r="T698" t="str">
        <v>plays</v>
      </c>
    </row>
    <row r="699" spans="1:20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40"/>
        <v>1.528</v>
      </c>
      <c r="G699" t="s">
        <v>20</v>
      </c>
      <c r="H699">
        <v>7295</v>
      </c>
      <c r="I699" s="5">
        <f t="shared" si="41"/>
        <v>27</v>
      </c>
      <c r="J699" t="s">
        <v>21</v>
      </c>
      <c r="K699" t="s">
        <v>22</v>
      </c>
      <c r="L699">
        <v>1522472400</v>
      </c>
      <c r="M699" s="9">
        <f t="shared" si="42"/>
        <v>43190.208333333328</v>
      </c>
      <c r="N699">
        <v>1522645200</v>
      </c>
      <c r="O699" s="9">
        <f t="shared" si="43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_xlfn.TEXTSPLIT(R699,"/")</f>
        <v>music</v>
      </c>
      <c r="T699" t="str">
        <v>electric music</v>
      </c>
    </row>
    <row r="700" spans="1:20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40"/>
        <v>4.4668999999999999</v>
      </c>
      <c r="G700" t="s">
        <v>20</v>
      </c>
      <c r="H700">
        <v>2893</v>
      </c>
      <c r="I700" s="5">
        <f t="shared" si="41"/>
        <v>65</v>
      </c>
      <c r="J700" t="s">
        <v>15</v>
      </c>
      <c r="K700" t="s">
        <v>16</v>
      </c>
      <c r="L700">
        <v>1322114400</v>
      </c>
      <c r="M700" s="9">
        <f t="shared" si="42"/>
        <v>40871.25</v>
      </c>
      <c r="N700">
        <v>1323324000</v>
      </c>
      <c r="O700" s="9">
        <f t="shared" si="43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_xlfn.TEXTSPLIT(R700,"/")</f>
        <v>technology</v>
      </c>
      <c r="T700" t="str">
        <v>wearables</v>
      </c>
    </row>
    <row r="701" spans="1:20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40"/>
        <v>0.84389999999999998</v>
      </c>
      <c r="G701" t="s">
        <v>14</v>
      </c>
      <c r="H701">
        <v>56</v>
      </c>
      <c r="I701" s="5">
        <f t="shared" si="41"/>
        <v>111.52</v>
      </c>
      <c r="J701" t="s">
        <v>21</v>
      </c>
      <c r="K701" t="s">
        <v>22</v>
      </c>
      <c r="L701">
        <v>1561438800</v>
      </c>
      <c r="M701" s="9">
        <f t="shared" si="42"/>
        <v>43641.208333333328</v>
      </c>
      <c r="N701">
        <v>1561525200</v>
      </c>
      <c r="O701" s="9">
        <f t="shared" si="43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_xlfn.TEXTSPLIT(R701,"/")</f>
        <v>film &amp; video</v>
      </c>
      <c r="T701" t="str">
        <v>drama</v>
      </c>
    </row>
    <row r="702" spans="1:20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40"/>
        <v>0.03</v>
      </c>
      <c r="G702" t="s">
        <v>14</v>
      </c>
      <c r="H702">
        <v>1</v>
      </c>
      <c r="I702" s="5">
        <f t="shared" si="41"/>
        <v>3</v>
      </c>
      <c r="J702" t="s">
        <v>21</v>
      </c>
      <c r="K702" t="s">
        <v>22</v>
      </c>
      <c r="L702">
        <v>1264399200</v>
      </c>
      <c r="M702" s="9">
        <f t="shared" si="42"/>
        <v>40203.25</v>
      </c>
      <c r="N702">
        <v>1265695200</v>
      </c>
      <c r="O702" s="9">
        <f t="shared" si="43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_xlfn.TEXTSPLIT(R702,"/")</f>
        <v>technology</v>
      </c>
      <c r="T702" t="str">
        <v>wearables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40"/>
        <v>1.7503</v>
      </c>
      <c r="G703" t="s">
        <v>20</v>
      </c>
      <c r="H703">
        <v>820</v>
      </c>
      <c r="I703" s="5">
        <f t="shared" si="41"/>
        <v>110.99</v>
      </c>
      <c r="J703" t="s">
        <v>21</v>
      </c>
      <c r="K703" t="s">
        <v>22</v>
      </c>
      <c r="L703">
        <v>1301202000</v>
      </c>
      <c r="M703" s="9">
        <f t="shared" si="42"/>
        <v>40629.208333333336</v>
      </c>
      <c r="N703">
        <v>1301806800</v>
      </c>
      <c r="O703" s="9">
        <f t="shared" si="43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_xlfn.TEXTSPLIT(R703,"/")</f>
        <v>theater</v>
      </c>
      <c r="T703" t="str">
        <v>plays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40"/>
        <v>0.54139999999999999</v>
      </c>
      <c r="G704" t="s">
        <v>14</v>
      </c>
      <c r="H704">
        <v>83</v>
      </c>
      <c r="I704" s="5">
        <f t="shared" si="41"/>
        <v>56.75</v>
      </c>
      <c r="J704" t="s">
        <v>21</v>
      </c>
      <c r="K704" t="s">
        <v>22</v>
      </c>
      <c r="L704">
        <v>1374469200</v>
      </c>
      <c r="M704" s="9">
        <f t="shared" si="42"/>
        <v>41477.208333333336</v>
      </c>
      <c r="N704">
        <v>1374901200</v>
      </c>
      <c r="O704" s="9">
        <f t="shared" si="43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_xlfn.TEXTSPLIT(R704,"/")</f>
        <v>technology</v>
      </c>
      <c r="T704" t="str">
        <v>wearables</v>
      </c>
    </row>
    <row r="705" spans="1:20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40"/>
        <v>3.1187</v>
      </c>
      <c r="G705" t="s">
        <v>20</v>
      </c>
      <c r="H705">
        <v>2038</v>
      </c>
      <c r="I705" s="5">
        <f t="shared" si="41"/>
        <v>97.02</v>
      </c>
      <c r="J705" t="s">
        <v>21</v>
      </c>
      <c r="K705" t="s">
        <v>22</v>
      </c>
      <c r="L705">
        <v>1334984400</v>
      </c>
      <c r="M705" s="9">
        <f t="shared" si="42"/>
        <v>41020.208333333336</v>
      </c>
      <c r="N705">
        <v>1336453200</v>
      </c>
      <c r="O705" s="9">
        <f t="shared" si="43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_xlfn.TEXTSPLIT(R705,"/")</f>
        <v>publishing</v>
      </c>
      <c r="T705" t="str">
        <v>translations</v>
      </c>
    </row>
    <row r="706" spans="1:20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40"/>
        <v>1.2278</v>
      </c>
      <c r="G706" t="s">
        <v>20</v>
      </c>
      <c r="H706">
        <v>116</v>
      </c>
      <c r="I706" s="5">
        <f t="shared" si="41"/>
        <v>92.09</v>
      </c>
      <c r="J706" t="s">
        <v>21</v>
      </c>
      <c r="K706" t="s">
        <v>22</v>
      </c>
      <c r="L706">
        <v>1467608400</v>
      </c>
      <c r="M706" s="9">
        <f t="shared" si="42"/>
        <v>42555.208333333328</v>
      </c>
      <c r="N706">
        <v>1468904400</v>
      </c>
      <c r="O706" s="9">
        <f t="shared" si="43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_xlfn.TEXTSPLIT(R706,"/")</f>
        <v>film &amp; video</v>
      </c>
      <c r="T706" t="str">
        <v>animation</v>
      </c>
    </row>
    <row r="707" spans="1:20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ref="F707:F770" si="44">ROUND(E707/D707,4)</f>
        <v>0.99029999999999996</v>
      </c>
      <c r="G707" t="s">
        <v>14</v>
      </c>
      <c r="H707">
        <v>2025</v>
      </c>
      <c r="I707" s="5">
        <f t="shared" ref="I707:I770" si="45">IF(H707=0,"0",(ROUND(E707/H707,2)))</f>
        <v>82.99</v>
      </c>
      <c r="J707" t="s">
        <v>40</v>
      </c>
      <c r="K707" t="s">
        <v>41</v>
      </c>
      <c r="L707">
        <v>1386741600</v>
      </c>
      <c r="M707" s="9">
        <f t="shared" ref="M707:M770" si="46">(((L707/60)/60)/24)+DATE(1970,1,1)</f>
        <v>41619.25</v>
      </c>
      <c r="N707">
        <v>1387087200</v>
      </c>
      <c r="O707" s="9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_xlfn.TEXTSPLIT(R707,"/")</f>
        <v>publishing</v>
      </c>
      <c r="T707" t="str">
        <v>nonfiction</v>
      </c>
    </row>
    <row r="708" spans="1:20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si="44"/>
        <v>1.2785</v>
      </c>
      <c r="G708" t="s">
        <v>20</v>
      </c>
      <c r="H708">
        <v>1345</v>
      </c>
      <c r="I708" s="5">
        <f t="shared" si="45"/>
        <v>103.04</v>
      </c>
      <c r="J708" t="s">
        <v>26</v>
      </c>
      <c r="K708" t="s">
        <v>27</v>
      </c>
      <c r="L708">
        <v>1546754400</v>
      </c>
      <c r="M708" s="9">
        <f t="shared" si="46"/>
        <v>43471.25</v>
      </c>
      <c r="N708">
        <v>1547445600</v>
      </c>
      <c r="O708" s="9">
        <f t="shared" si="47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_xlfn.TEXTSPLIT(R708,"/")</f>
        <v>technology</v>
      </c>
      <c r="T708" t="str">
        <v>web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44"/>
        <v>1.5862000000000001</v>
      </c>
      <c r="G709" t="s">
        <v>20</v>
      </c>
      <c r="H709">
        <v>168</v>
      </c>
      <c r="I709" s="5">
        <f t="shared" si="45"/>
        <v>68.92</v>
      </c>
      <c r="J709" t="s">
        <v>21</v>
      </c>
      <c r="K709" t="s">
        <v>22</v>
      </c>
      <c r="L709">
        <v>1544248800</v>
      </c>
      <c r="M709" s="9">
        <f t="shared" si="46"/>
        <v>43442.25</v>
      </c>
      <c r="N709">
        <v>1547359200</v>
      </c>
      <c r="O709" s="9">
        <f t="shared" si="47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_xlfn.TEXTSPLIT(R709,"/")</f>
        <v>film &amp; video</v>
      </c>
      <c r="T709" t="str">
        <v>drama</v>
      </c>
    </row>
    <row r="710" spans="1:20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44"/>
        <v>7.0705999999999998</v>
      </c>
      <c r="G710" t="s">
        <v>20</v>
      </c>
      <c r="H710">
        <v>137</v>
      </c>
      <c r="I710" s="5">
        <f t="shared" si="45"/>
        <v>87.74</v>
      </c>
      <c r="J710" t="s">
        <v>98</v>
      </c>
      <c r="K710" t="s">
        <v>99</v>
      </c>
      <c r="L710">
        <v>1495429200</v>
      </c>
      <c r="M710" s="9">
        <f t="shared" si="46"/>
        <v>42877.208333333328</v>
      </c>
      <c r="N710">
        <v>1496293200</v>
      </c>
      <c r="O710" s="9">
        <f t="shared" si="47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_xlfn.TEXTSPLIT(R710,"/")</f>
        <v>theater</v>
      </c>
      <c r="T710" t="str">
        <v>plays</v>
      </c>
    </row>
    <row r="711" spans="1:20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44"/>
        <v>1.4238999999999999</v>
      </c>
      <c r="G711" t="s">
        <v>20</v>
      </c>
      <c r="H711">
        <v>186</v>
      </c>
      <c r="I711" s="5">
        <f t="shared" si="45"/>
        <v>75.02</v>
      </c>
      <c r="J711" t="s">
        <v>107</v>
      </c>
      <c r="K711" t="s">
        <v>108</v>
      </c>
      <c r="L711">
        <v>1334811600</v>
      </c>
      <c r="M711" s="9">
        <f t="shared" si="46"/>
        <v>41018.208333333336</v>
      </c>
      <c r="N711">
        <v>1335416400</v>
      </c>
      <c r="O711" s="9">
        <f t="shared" si="47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_xlfn.TEXTSPLIT(R711,"/")</f>
        <v>theater</v>
      </c>
      <c r="T711" t="str">
        <v>plays</v>
      </c>
    </row>
    <row r="712" spans="1:20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44"/>
        <v>1.4785999999999999</v>
      </c>
      <c r="G712" t="s">
        <v>20</v>
      </c>
      <c r="H712">
        <v>125</v>
      </c>
      <c r="I712" s="5">
        <f t="shared" si="45"/>
        <v>50.86</v>
      </c>
      <c r="J712" t="s">
        <v>21</v>
      </c>
      <c r="K712" t="s">
        <v>22</v>
      </c>
      <c r="L712">
        <v>1531544400</v>
      </c>
      <c r="M712" s="9">
        <f t="shared" si="46"/>
        <v>43295.208333333328</v>
      </c>
      <c r="N712">
        <v>1532149200</v>
      </c>
      <c r="O712" s="9">
        <f t="shared" si="47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_xlfn.TEXTSPLIT(R712,"/")</f>
        <v>theater</v>
      </c>
      <c r="T712" t="str">
        <v>plays</v>
      </c>
    </row>
    <row r="713" spans="1:20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44"/>
        <v>0.20319999999999999</v>
      </c>
      <c r="G713" t="s">
        <v>14</v>
      </c>
      <c r="H713">
        <v>14</v>
      </c>
      <c r="I713" s="5">
        <f t="shared" si="45"/>
        <v>90</v>
      </c>
      <c r="J713" t="s">
        <v>107</v>
      </c>
      <c r="K713" t="s">
        <v>108</v>
      </c>
      <c r="L713">
        <v>1453615200</v>
      </c>
      <c r="M713" s="9">
        <f t="shared" si="46"/>
        <v>42393.25</v>
      </c>
      <c r="N713">
        <v>1453788000</v>
      </c>
      <c r="O713" s="9">
        <f t="shared" si="47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_xlfn.TEXTSPLIT(R713,"/")</f>
        <v>theater</v>
      </c>
      <c r="T713" t="str">
        <v>plays</v>
      </c>
    </row>
    <row r="714" spans="1:20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44"/>
        <v>18.406300000000002</v>
      </c>
      <c r="G714" t="s">
        <v>20</v>
      </c>
      <c r="H714">
        <v>202</v>
      </c>
      <c r="I714" s="5">
        <f t="shared" si="45"/>
        <v>72.900000000000006</v>
      </c>
      <c r="J714" t="s">
        <v>21</v>
      </c>
      <c r="K714" t="s">
        <v>22</v>
      </c>
      <c r="L714">
        <v>1467954000</v>
      </c>
      <c r="M714" s="9">
        <f t="shared" si="46"/>
        <v>42559.208333333328</v>
      </c>
      <c r="N714">
        <v>1471496400</v>
      </c>
      <c r="O714" s="9">
        <f t="shared" si="47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_xlfn.TEXTSPLIT(R714,"/")</f>
        <v>theater</v>
      </c>
      <c r="T714" t="str">
        <v>plays</v>
      </c>
    </row>
    <row r="715" spans="1:20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44"/>
        <v>1.6194</v>
      </c>
      <c r="G715" t="s">
        <v>20</v>
      </c>
      <c r="H715">
        <v>103</v>
      </c>
      <c r="I715" s="5">
        <f t="shared" si="45"/>
        <v>108.49</v>
      </c>
      <c r="J715" t="s">
        <v>21</v>
      </c>
      <c r="K715" t="s">
        <v>22</v>
      </c>
      <c r="L715">
        <v>1471842000</v>
      </c>
      <c r="M715" s="9">
        <f t="shared" si="46"/>
        <v>42604.208333333328</v>
      </c>
      <c r="N715">
        <v>1472878800</v>
      </c>
      <c r="O715" s="9">
        <f t="shared" si="47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_xlfn.TEXTSPLIT(R715,"/")</f>
        <v>publishing</v>
      </c>
      <c r="T715" t="str">
        <v>radio &amp; podcasts</v>
      </c>
    </row>
    <row r="716" spans="1:20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44"/>
        <v>4.7282000000000002</v>
      </c>
      <c r="G716" t="s">
        <v>20</v>
      </c>
      <c r="H716">
        <v>1785</v>
      </c>
      <c r="I716" s="5">
        <f t="shared" si="45"/>
        <v>101.98</v>
      </c>
      <c r="J716" t="s">
        <v>21</v>
      </c>
      <c r="K716" t="s">
        <v>22</v>
      </c>
      <c r="L716">
        <v>1408424400</v>
      </c>
      <c r="M716" s="9">
        <f t="shared" si="46"/>
        <v>41870.208333333336</v>
      </c>
      <c r="N716">
        <v>1408510800</v>
      </c>
      <c r="O716" s="9">
        <f t="shared" si="47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_xlfn.TEXTSPLIT(R716,"/")</f>
        <v>music</v>
      </c>
      <c r="T716" t="str">
        <v>rock</v>
      </c>
    </row>
    <row r="717" spans="1:20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44"/>
        <v>0.2447</v>
      </c>
      <c r="G717" t="s">
        <v>14</v>
      </c>
      <c r="H717">
        <v>656</v>
      </c>
      <c r="I717" s="5">
        <f t="shared" si="45"/>
        <v>44.01</v>
      </c>
      <c r="J717" t="s">
        <v>21</v>
      </c>
      <c r="K717" t="s">
        <v>22</v>
      </c>
      <c r="L717">
        <v>1281157200</v>
      </c>
      <c r="M717" s="9">
        <f t="shared" si="46"/>
        <v>40397.208333333336</v>
      </c>
      <c r="N717">
        <v>1281589200</v>
      </c>
      <c r="O717" s="9">
        <f t="shared" si="47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_xlfn.TEXTSPLIT(R717,"/")</f>
        <v>games</v>
      </c>
      <c r="T717" t="str">
        <v>mobile games</v>
      </c>
    </row>
    <row r="718" spans="1:20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44"/>
        <v>5.1764999999999999</v>
      </c>
      <c r="G718" t="s">
        <v>20</v>
      </c>
      <c r="H718">
        <v>157</v>
      </c>
      <c r="I718" s="5">
        <f t="shared" si="45"/>
        <v>65.94</v>
      </c>
      <c r="J718" t="s">
        <v>21</v>
      </c>
      <c r="K718" t="s">
        <v>22</v>
      </c>
      <c r="L718">
        <v>1373432400</v>
      </c>
      <c r="M718" s="9">
        <f t="shared" si="46"/>
        <v>41465.208333333336</v>
      </c>
      <c r="N718">
        <v>1375851600</v>
      </c>
      <c r="O718" s="9">
        <f t="shared" si="47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_xlfn.TEXTSPLIT(R718,"/")</f>
        <v>theater</v>
      </c>
      <c r="T718" t="str">
        <v>plays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44"/>
        <v>2.4763999999999999</v>
      </c>
      <c r="G719" t="s">
        <v>20</v>
      </c>
      <c r="H719">
        <v>555</v>
      </c>
      <c r="I719" s="5">
        <f t="shared" si="45"/>
        <v>24.99</v>
      </c>
      <c r="J719" t="s">
        <v>21</v>
      </c>
      <c r="K719" t="s">
        <v>22</v>
      </c>
      <c r="L719">
        <v>1313989200</v>
      </c>
      <c r="M719" s="9">
        <f t="shared" si="46"/>
        <v>40777.208333333336</v>
      </c>
      <c r="N719">
        <v>1315803600</v>
      </c>
      <c r="O719" s="9">
        <f t="shared" si="47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_xlfn.TEXTSPLIT(R719,"/")</f>
        <v>film &amp; video</v>
      </c>
      <c r="T719" t="str">
        <v>documentary</v>
      </c>
    </row>
    <row r="720" spans="1:20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44"/>
        <v>1.002</v>
      </c>
      <c r="G720" t="s">
        <v>20</v>
      </c>
      <c r="H720">
        <v>297</v>
      </c>
      <c r="I720" s="5">
        <f t="shared" si="45"/>
        <v>28</v>
      </c>
      <c r="J720" t="s">
        <v>21</v>
      </c>
      <c r="K720" t="s">
        <v>22</v>
      </c>
      <c r="L720">
        <v>1371445200</v>
      </c>
      <c r="M720" s="9">
        <f t="shared" si="46"/>
        <v>41442.208333333336</v>
      </c>
      <c r="N720">
        <v>1373691600</v>
      </c>
      <c r="O720" s="9">
        <f t="shared" si="47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_xlfn.TEXTSPLIT(R720,"/")</f>
        <v>technology</v>
      </c>
      <c r="T720" t="str">
        <v>wearables</v>
      </c>
    </row>
    <row r="721" spans="1:20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44"/>
        <v>1.53</v>
      </c>
      <c r="G721" t="s">
        <v>20</v>
      </c>
      <c r="H721">
        <v>123</v>
      </c>
      <c r="I721" s="5">
        <f t="shared" si="45"/>
        <v>85.83</v>
      </c>
      <c r="J721" t="s">
        <v>21</v>
      </c>
      <c r="K721" t="s">
        <v>22</v>
      </c>
      <c r="L721">
        <v>1338267600</v>
      </c>
      <c r="M721" s="9">
        <f t="shared" si="46"/>
        <v>41058.208333333336</v>
      </c>
      <c r="N721">
        <v>1339218000</v>
      </c>
      <c r="O721" s="9">
        <f t="shared" si="47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_xlfn.TEXTSPLIT(R721,"/")</f>
        <v>publishing</v>
      </c>
      <c r="T721" t="str">
        <v>fiction</v>
      </c>
    </row>
    <row r="722" spans="1:20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44"/>
        <v>0.37090000000000001</v>
      </c>
      <c r="G722" t="s">
        <v>74</v>
      </c>
      <c r="H722">
        <v>38</v>
      </c>
      <c r="I722" s="5">
        <f t="shared" si="45"/>
        <v>84.92</v>
      </c>
      <c r="J722" t="s">
        <v>36</v>
      </c>
      <c r="K722" t="s">
        <v>37</v>
      </c>
      <c r="L722">
        <v>1519192800</v>
      </c>
      <c r="M722" s="9">
        <f t="shared" si="46"/>
        <v>43152.25</v>
      </c>
      <c r="N722">
        <v>1520402400</v>
      </c>
      <c r="O722" s="9">
        <f t="shared" si="47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_xlfn.TEXTSPLIT(R722,"/")</f>
        <v>theater</v>
      </c>
      <c r="T722" t="str">
        <v>plays</v>
      </c>
    </row>
    <row r="723" spans="1:20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44"/>
        <v>4.3900000000000002E-2</v>
      </c>
      <c r="G723" t="s">
        <v>74</v>
      </c>
      <c r="H723">
        <v>60</v>
      </c>
      <c r="I723" s="5">
        <f t="shared" si="45"/>
        <v>90.48</v>
      </c>
      <c r="J723" t="s">
        <v>21</v>
      </c>
      <c r="K723" t="s">
        <v>22</v>
      </c>
      <c r="L723">
        <v>1522818000</v>
      </c>
      <c r="M723" s="9">
        <f t="shared" si="46"/>
        <v>43194.208333333328</v>
      </c>
      <c r="N723">
        <v>1523336400</v>
      </c>
      <c r="O723" s="9">
        <f t="shared" si="47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_xlfn.TEXTSPLIT(R723,"/")</f>
        <v>music</v>
      </c>
      <c r="T723" t="str">
        <v>rock</v>
      </c>
    </row>
    <row r="724" spans="1:20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44"/>
        <v>1.5650999999999999</v>
      </c>
      <c r="G724" t="s">
        <v>20</v>
      </c>
      <c r="H724">
        <v>3036</v>
      </c>
      <c r="I724" s="5">
        <f t="shared" si="45"/>
        <v>25</v>
      </c>
      <c r="J724" t="s">
        <v>21</v>
      </c>
      <c r="K724" t="s">
        <v>22</v>
      </c>
      <c r="L724">
        <v>1509948000</v>
      </c>
      <c r="M724" s="9">
        <f t="shared" si="46"/>
        <v>43045.25</v>
      </c>
      <c r="N724">
        <v>1512280800</v>
      </c>
      <c r="O724" s="9">
        <f t="shared" si="47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_xlfn.TEXTSPLIT(R724,"/")</f>
        <v>film &amp; video</v>
      </c>
      <c r="T724" t="str">
        <v>documentary</v>
      </c>
    </row>
    <row r="725" spans="1:20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44"/>
        <v>2.7040999999999999</v>
      </c>
      <c r="G725" t="s">
        <v>20</v>
      </c>
      <c r="H725">
        <v>144</v>
      </c>
      <c r="I725" s="5">
        <f t="shared" si="45"/>
        <v>92.01</v>
      </c>
      <c r="J725" t="s">
        <v>26</v>
      </c>
      <c r="K725" t="s">
        <v>27</v>
      </c>
      <c r="L725">
        <v>1456898400</v>
      </c>
      <c r="M725" s="9">
        <f t="shared" si="46"/>
        <v>42431.25</v>
      </c>
      <c r="N725">
        <v>1458709200</v>
      </c>
      <c r="O725" s="9">
        <f t="shared" si="47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_xlfn.TEXTSPLIT(R725,"/")</f>
        <v>theater</v>
      </c>
      <c r="T725" t="str">
        <v>plays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44"/>
        <v>1.3406</v>
      </c>
      <c r="G726" t="s">
        <v>20</v>
      </c>
      <c r="H726">
        <v>121</v>
      </c>
      <c r="I726" s="5">
        <f t="shared" si="45"/>
        <v>93.07</v>
      </c>
      <c r="J726" t="s">
        <v>40</v>
      </c>
      <c r="K726" t="s">
        <v>41</v>
      </c>
      <c r="L726">
        <v>1413954000</v>
      </c>
      <c r="M726" s="9">
        <f t="shared" si="46"/>
        <v>41934.208333333336</v>
      </c>
      <c r="N726">
        <v>1414126800</v>
      </c>
      <c r="O726" s="9">
        <f t="shared" si="47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_xlfn.TEXTSPLIT(R726,"/")</f>
        <v>theater</v>
      </c>
      <c r="T726" t="str">
        <v>plays</v>
      </c>
    </row>
    <row r="727" spans="1:20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44"/>
        <v>0.504</v>
      </c>
      <c r="G727" t="s">
        <v>14</v>
      </c>
      <c r="H727">
        <v>1596</v>
      </c>
      <c r="I727" s="5">
        <f t="shared" si="45"/>
        <v>61.01</v>
      </c>
      <c r="J727" t="s">
        <v>21</v>
      </c>
      <c r="K727" t="s">
        <v>22</v>
      </c>
      <c r="L727">
        <v>1416031200</v>
      </c>
      <c r="M727" s="9">
        <f t="shared" si="46"/>
        <v>41958.25</v>
      </c>
      <c r="N727">
        <v>1416204000</v>
      </c>
      <c r="O727" s="9">
        <f t="shared" si="47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_xlfn.TEXTSPLIT(R727,"/")</f>
        <v>games</v>
      </c>
      <c r="T727" t="str">
        <v>mobile games</v>
      </c>
    </row>
    <row r="728" spans="1:20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44"/>
        <v>0.88819999999999999</v>
      </c>
      <c r="G728" t="s">
        <v>74</v>
      </c>
      <c r="H728">
        <v>524</v>
      </c>
      <c r="I728" s="5">
        <f t="shared" si="45"/>
        <v>92.04</v>
      </c>
      <c r="J728" t="s">
        <v>21</v>
      </c>
      <c r="K728" t="s">
        <v>22</v>
      </c>
      <c r="L728">
        <v>1287982800</v>
      </c>
      <c r="M728" s="9">
        <f t="shared" si="46"/>
        <v>40476.208333333336</v>
      </c>
      <c r="N728">
        <v>1288501200</v>
      </c>
      <c r="O728" s="9">
        <f t="shared" si="47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_xlfn.TEXTSPLIT(R728,"/")</f>
        <v>theater</v>
      </c>
      <c r="T728" t="str">
        <v>plays</v>
      </c>
    </row>
    <row r="729" spans="1:20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44"/>
        <v>1.65</v>
      </c>
      <c r="G729" t="s">
        <v>20</v>
      </c>
      <c r="H729">
        <v>181</v>
      </c>
      <c r="I729" s="5">
        <f t="shared" si="45"/>
        <v>81.13</v>
      </c>
      <c r="J729" t="s">
        <v>21</v>
      </c>
      <c r="K729" t="s">
        <v>22</v>
      </c>
      <c r="L729">
        <v>1547964000</v>
      </c>
      <c r="M729" s="9">
        <f t="shared" si="46"/>
        <v>43485.25</v>
      </c>
      <c r="N729">
        <v>1552971600</v>
      </c>
      <c r="O729" s="9">
        <f t="shared" si="47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_xlfn.TEXTSPLIT(R729,"/")</f>
        <v>technology</v>
      </c>
      <c r="T729" t="str">
        <v>web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44"/>
        <v>0.17499999999999999</v>
      </c>
      <c r="G730" t="s">
        <v>14</v>
      </c>
      <c r="H730">
        <v>10</v>
      </c>
      <c r="I730" s="5">
        <f t="shared" si="45"/>
        <v>73.5</v>
      </c>
      <c r="J730" t="s">
        <v>21</v>
      </c>
      <c r="K730" t="s">
        <v>22</v>
      </c>
      <c r="L730">
        <v>1464152400</v>
      </c>
      <c r="M730" s="9">
        <f t="shared" si="46"/>
        <v>42515.208333333328</v>
      </c>
      <c r="N730">
        <v>1465102800</v>
      </c>
      <c r="O730" s="9">
        <f t="shared" si="47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_xlfn.TEXTSPLIT(R730,"/")</f>
        <v>theater</v>
      </c>
      <c r="T730" t="str">
        <v>plays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44"/>
        <v>1.8566</v>
      </c>
      <c r="G731" t="s">
        <v>20</v>
      </c>
      <c r="H731">
        <v>122</v>
      </c>
      <c r="I731" s="5">
        <f t="shared" si="45"/>
        <v>85.22</v>
      </c>
      <c r="J731" t="s">
        <v>21</v>
      </c>
      <c r="K731" t="s">
        <v>22</v>
      </c>
      <c r="L731">
        <v>1359957600</v>
      </c>
      <c r="M731" s="9">
        <f t="shared" si="46"/>
        <v>41309.25</v>
      </c>
      <c r="N731">
        <v>1360130400</v>
      </c>
      <c r="O731" s="9">
        <f t="shared" si="47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_xlfn.TEXTSPLIT(R731,"/")</f>
        <v>film &amp; video</v>
      </c>
      <c r="T731" t="str">
        <v>drama</v>
      </c>
    </row>
    <row r="732" spans="1:20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44"/>
        <v>4.1265999999999998</v>
      </c>
      <c r="G732" t="s">
        <v>20</v>
      </c>
      <c r="H732">
        <v>1071</v>
      </c>
      <c r="I732" s="5">
        <f t="shared" si="45"/>
        <v>110.97</v>
      </c>
      <c r="J732" t="s">
        <v>15</v>
      </c>
      <c r="K732" t="s">
        <v>16</v>
      </c>
      <c r="L732">
        <v>1432357200</v>
      </c>
      <c r="M732" s="9">
        <f t="shared" si="46"/>
        <v>42147.208333333328</v>
      </c>
      <c r="N732">
        <v>1432875600</v>
      </c>
      <c r="O732" s="9">
        <f t="shared" si="47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_xlfn.TEXTSPLIT(R732,"/")</f>
        <v>technology</v>
      </c>
      <c r="T732" t="str">
        <v>wearables</v>
      </c>
    </row>
    <row r="733" spans="1:20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44"/>
        <v>0.90249999999999997</v>
      </c>
      <c r="G733" t="s">
        <v>74</v>
      </c>
      <c r="H733">
        <v>219</v>
      </c>
      <c r="I733" s="5">
        <f t="shared" si="45"/>
        <v>32.97</v>
      </c>
      <c r="J733" t="s">
        <v>21</v>
      </c>
      <c r="K733" t="s">
        <v>22</v>
      </c>
      <c r="L733">
        <v>1500786000</v>
      </c>
      <c r="M733" s="9">
        <f t="shared" si="46"/>
        <v>42939.208333333328</v>
      </c>
      <c r="N733">
        <v>1500872400</v>
      </c>
      <c r="O733" s="9">
        <f t="shared" si="47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_xlfn.TEXTSPLIT(R733,"/")</f>
        <v>technology</v>
      </c>
      <c r="T733" t="str">
        <v>web</v>
      </c>
    </row>
    <row r="734" spans="1:20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44"/>
        <v>0.91979999999999995</v>
      </c>
      <c r="G734" t="s">
        <v>14</v>
      </c>
      <c r="H734">
        <v>1121</v>
      </c>
      <c r="I734" s="5">
        <f t="shared" si="45"/>
        <v>96.01</v>
      </c>
      <c r="J734" t="s">
        <v>21</v>
      </c>
      <c r="K734" t="s">
        <v>22</v>
      </c>
      <c r="L734">
        <v>1490158800</v>
      </c>
      <c r="M734" s="9">
        <f t="shared" si="46"/>
        <v>42816.208333333328</v>
      </c>
      <c r="N734">
        <v>1492146000</v>
      </c>
      <c r="O734" s="9">
        <f t="shared" si="47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_xlfn.TEXTSPLIT(R734,"/")</f>
        <v>music</v>
      </c>
      <c r="T734" t="str">
        <v>rock</v>
      </c>
    </row>
    <row r="735" spans="1:20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44"/>
        <v>5.2701000000000002</v>
      </c>
      <c r="G735" t="s">
        <v>20</v>
      </c>
      <c r="H735">
        <v>980</v>
      </c>
      <c r="I735" s="5">
        <f t="shared" si="45"/>
        <v>84.97</v>
      </c>
      <c r="J735" t="s">
        <v>21</v>
      </c>
      <c r="K735" t="s">
        <v>22</v>
      </c>
      <c r="L735">
        <v>1406178000</v>
      </c>
      <c r="M735" s="9">
        <f t="shared" si="46"/>
        <v>41844.208333333336</v>
      </c>
      <c r="N735">
        <v>1407301200</v>
      </c>
      <c r="O735" s="9">
        <f t="shared" si="47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_xlfn.TEXTSPLIT(R735,"/")</f>
        <v>music</v>
      </c>
      <c r="T735" t="str">
        <v>metal</v>
      </c>
    </row>
    <row r="736" spans="1:20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44"/>
        <v>3.1913999999999998</v>
      </c>
      <c r="G736" t="s">
        <v>20</v>
      </c>
      <c r="H736">
        <v>536</v>
      </c>
      <c r="I736" s="5">
        <f t="shared" si="45"/>
        <v>25.01</v>
      </c>
      <c r="J736" t="s">
        <v>21</v>
      </c>
      <c r="K736" t="s">
        <v>22</v>
      </c>
      <c r="L736">
        <v>1485583200</v>
      </c>
      <c r="M736" s="9">
        <f t="shared" si="46"/>
        <v>42763.25</v>
      </c>
      <c r="N736">
        <v>1486620000</v>
      </c>
      <c r="O736" s="9">
        <f t="shared" si="47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_xlfn.TEXTSPLIT(R736,"/")</f>
        <v>theater</v>
      </c>
      <c r="T736" t="str">
        <v>plays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44"/>
        <v>3.5419</v>
      </c>
      <c r="G737" t="s">
        <v>20</v>
      </c>
      <c r="H737">
        <v>1991</v>
      </c>
      <c r="I737" s="5">
        <f t="shared" si="45"/>
        <v>66</v>
      </c>
      <c r="J737" t="s">
        <v>21</v>
      </c>
      <c r="K737" t="s">
        <v>22</v>
      </c>
      <c r="L737">
        <v>1459314000</v>
      </c>
      <c r="M737" s="9">
        <f t="shared" si="46"/>
        <v>42459.208333333328</v>
      </c>
      <c r="N737">
        <v>1459918800</v>
      </c>
      <c r="O737" s="9">
        <f t="shared" si="47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_xlfn.TEXTSPLIT(R737,"/")</f>
        <v>photography</v>
      </c>
      <c r="T737" t="str">
        <v>photography books</v>
      </c>
    </row>
    <row r="738" spans="1:20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44"/>
        <v>0.32900000000000001</v>
      </c>
      <c r="G738" t="s">
        <v>74</v>
      </c>
      <c r="H738">
        <v>29</v>
      </c>
      <c r="I738" s="5">
        <f t="shared" si="45"/>
        <v>87.34</v>
      </c>
      <c r="J738" t="s">
        <v>21</v>
      </c>
      <c r="K738" t="s">
        <v>22</v>
      </c>
      <c r="L738">
        <v>1424412000</v>
      </c>
      <c r="M738" s="9">
        <f t="shared" si="46"/>
        <v>42055.25</v>
      </c>
      <c r="N738">
        <v>1424757600</v>
      </c>
      <c r="O738" s="9">
        <f t="shared" si="47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_xlfn.TEXTSPLIT(R738,"/")</f>
        <v>publishing</v>
      </c>
      <c r="T738" t="str">
        <v>nonfiction</v>
      </c>
    </row>
    <row r="739" spans="1:20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44"/>
        <v>1.3589</v>
      </c>
      <c r="G739" t="s">
        <v>20</v>
      </c>
      <c r="H739">
        <v>180</v>
      </c>
      <c r="I739" s="5">
        <f t="shared" si="45"/>
        <v>27.93</v>
      </c>
      <c r="J739" t="s">
        <v>21</v>
      </c>
      <c r="K739" t="s">
        <v>22</v>
      </c>
      <c r="L739">
        <v>1478844000</v>
      </c>
      <c r="M739" s="9">
        <f t="shared" si="46"/>
        <v>42685.25</v>
      </c>
      <c r="N739">
        <v>1479880800</v>
      </c>
      <c r="O739" s="9">
        <f t="shared" si="47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_xlfn.TEXTSPLIT(R739,"/")</f>
        <v>music</v>
      </c>
      <c r="T739" t="str">
        <v>indie rock</v>
      </c>
    </row>
    <row r="740" spans="1:20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44"/>
        <v>2.0799999999999999E-2</v>
      </c>
      <c r="G740" t="s">
        <v>14</v>
      </c>
      <c r="H740">
        <v>15</v>
      </c>
      <c r="I740" s="5">
        <f t="shared" si="45"/>
        <v>103.8</v>
      </c>
      <c r="J740" t="s">
        <v>21</v>
      </c>
      <c r="K740" t="s">
        <v>22</v>
      </c>
      <c r="L740">
        <v>1416117600</v>
      </c>
      <c r="M740" s="9">
        <f t="shared" si="46"/>
        <v>41959.25</v>
      </c>
      <c r="N740">
        <v>1418018400</v>
      </c>
      <c r="O740" s="9">
        <f t="shared" si="47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_xlfn.TEXTSPLIT(R740,"/")</f>
        <v>theater</v>
      </c>
      <c r="T740" t="str">
        <v>plays</v>
      </c>
    </row>
    <row r="741" spans="1:20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44"/>
        <v>0.61</v>
      </c>
      <c r="G741" t="s">
        <v>14</v>
      </c>
      <c r="H741">
        <v>191</v>
      </c>
      <c r="I741" s="5">
        <f t="shared" si="45"/>
        <v>31.94</v>
      </c>
      <c r="J741" t="s">
        <v>21</v>
      </c>
      <c r="K741" t="s">
        <v>22</v>
      </c>
      <c r="L741">
        <v>1340946000</v>
      </c>
      <c r="M741" s="9">
        <f t="shared" si="46"/>
        <v>41089.208333333336</v>
      </c>
      <c r="N741">
        <v>1341032400</v>
      </c>
      <c r="O741" s="9">
        <f t="shared" si="47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_xlfn.TEXTSPLIT(R741,"/")</f>
        <v>music</v>
      </c>
      <c r="T741" t="str">
        <v>indie rock</v>
      </c>
    </row>
    <row r="742" spans="1:20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44"/>
        <v>0.3004</v>
      </c>
      <c r="G742" t="s">
        <v>14</v>
      </c>
      <c r="H742">
        <v>16</v>
      </c>
      <c r="I742" s="5">
        <f t="shared" si="45"/>
        <v>99.5</v>
      </c>
      <c r="J742" t="s">
        <v>21</v>
      </c>
      <c r="K742" t="s">
        <v>22</v>
      </c>
      <c r="L742">
        <v>1486101600</v>
      </c>
      <c r="M742" s="9">
        <f t="shared" si="46"/>
        <v>42769.25</v>
      </c>
      <c r="N742">
        <v>1486360800</v>
      </c>
      <c r="O742" s="9">
        <f t="shared" si="47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_xlfn.TEXTSPLIT(R742,"/")</f>
        <v>theater</v>
      </c>
      <c r="T742" t="str">
        <v>plays</v>
      </c>
    </row>
    <row r="743" spans="1:20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44"/>
        <v>11.791700000000001</v>
      </c>
      <c r="G743" t="s">
        <v>20</v>
      </c>
      <c r="H743">
        <v>130</v>
      </c>
      <c r="I743" s="5">
        <f t="shared" si="45"/>
        <v>108.85</v>
      </c>
      <c r="J743" t="s">
        <v>21</v>
      </c>
      <c r="K743" t="s">
        <v>22</v>
      </c>
      <c r="L743">
        <v>1274590800</v>
      </c>
      <c r="M743" s="9">
        <f t="shared" si="46"/>
        <v>40321.208333333336</v>
      </c>
      <c r="N743">
        <v>1274677200</v>
      </c>
      <c r="O743" s="9">
        <f t="shared" si="47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_xlfn.TEXTSPLIT(R743,"/")</f>
        <v>theater</v>
      </c>
      <c r="T743" t="str">
        <v>plays</v>
      </c>
    </row>
    <row r="744" spans="1:20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44"/>
        <v>11.2608</v>
      </c>
      <c r="G744" t="s">
        <v>20</v>
      </c>
      <c r="H744">
        <v>122</v>
      </c>
      <c r="I744" s="5">
        <f t="shared" si="45"/>
        <v>110.76</v>
      </c>
      <c r="J744" t="s">
        <v>21</v>
      </c>
      <c r="K744" t="s">
        <v>22</v>
      </c>
      <c r="L744">
        <v>1263880800</v>
      </c>
      <c r="M744" s="9">
        <f t="shared" si="46"/>
        <v>40197.25</v>
      </c>
      <c r="N744">
        <v>1267509600</v>
      </c>
      <c r="O744" s="9">
        <f t="shared" si="47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_xlfn.TEXTSPLIT(R744,"/")</f>
        <v>music</v>
      </c>
      <c r="T744" t="str">
        <v>electric music</v>
      </c>
    </row>
    <row r="745" spans="1:20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44"/>
        <v>0.12920000000000001</v>
      </c>
      <c r="G745" t="s">
        <v>14</v>
      </c>
      <c r="H745">
        <v>17</v>
      </c>
      <c r="I745" s="5">
        <f t="shared" si="45"/>
        <v>29.65</v>
      </c>
      <c r="J745" t="s">
        <v>21</v>
      </c>
      <c r="K745" t="s">
        <v>22</v>
      </c>
      <c r="L745">
        <v>1445403600</v>
      </c>
      <c r="M745" s="9">
        <f t="shared" si="46"/>
        <v>42298.208333333328</v>
      </c>
      <c r="N745">
        <v>1445922000</v>
      </c>
      <c r="O745" s="9">
        <f t="shared" si="47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_xlfn.TEXTSPLIT(R745,"/")</f>
        <v>theater</v>
      </c>
      <c r="T745" t="str">
        <v>plays</v>
      </c>
    </row>
    <row r="746" spans="1:20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44"/>
        <v>7.12</v>
      </c>
      <c r="G746" t="s">
        <v>20</v>
      </c>
      <c r="H746">
        <v>140</v>
      </c>
      <c r="I746" s="5">
        <f t="shared" si="45"/>
        <v>101.71</v>
      </c>
      <c r="J746" t="s">
        <v>21</v>
      </c>
      <c r="K746" t="s">
        <v>22</v>
      </c>
      <c r="L746">
        <v>1533877200</v>
      </c>
      <c r="M746" s="9">
        <f t="shared" si="46"/>
        <v>43322.208333333328</v>
      </c>
      <c r="N746">
        <v>1534050000</v>
      </c>
      <c r="O746" s="9">
        <f t="shared" si="47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_xlfn.TEXTSPLIT(R746,"/")</f>
        <v>theater</v>
      </c>
      <c r="T746" t="str">
        <v>plays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44"/>
        <v>0.30299999999999999</v>
      </c>
      <c r="G747" t="s">
        <v>14</v>
      </c>
      <c r="H747">
        <v>34</v>
      </c>
      <c r="I747" s="5">
        <f t="shared" si="45"/>
        <v>61.5</v>
      </c>
      <c r="J747" t="s">
        <v>21</v>
      </c>
      <c r="K747" t="s">
        <v>22</v>
      </c>
      <c r="L747">
        <v>1275195600</v>
      </c>
      <c r="M747" s="9">
        <f t="shared" si="46"/>
        <v>40328.208333333336</v>
      </c>
      <c r="N747">
        <v>1277528400</v>
      </c>
      <c r="O747" s="9">
        <f t="shared" si="47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_xlfn.TEXTSPLIT(R747,"/")</f>
        <v>technology</v>
      </c>
      <c r="T747" t="str">
        <v>wearables</v>
      </c>
    </row>
    <row r="748" spans="1:20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44"/>
        <v>2.1251000000000002</v>
      </c>
      <c r="G748" t="s">
        <v>20</v>
      </c>
      <c r="H748">
        <v>3388</v>
      </c>
      <c r="I748" s="5">
        <f t="shared" si="45"/>
        <v>35</v>
      </c>
      <c r="J748" t="s">
        <v>21</v>
      </c>
      <c r="K748" t="s">
        <v>22</v>
      </c>
      <c r="L748">
        <v>1318136400</v>
      </c>
      <c r="M748" s="9">
        <f t="shared" si="46"/>
        <v>40825.208333333336</v>
      </c>
      <c r="N748">
        <v>1318568400</v>
      </c>
      <c r="O748" s="9">
        <f t="shared" si="47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_xlfn.TEXTSPLIT(R748,"/")</f>
        <v>technology</v>
      </c>
      <c r="T748" t="str">
        <v>web</v>
      </c>
    </row>
    <row r="749" spans="1:20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44"/>
        <v>2.2886000000000002</v>
      </c>
      <c r="G749" t="s">
        <v>20</v>
      </c>
      <c r="H749">
        <v>280</v>
      </c>
      <c r="I749" s="5">
        <f t="shared" si="45"/>
        <v>40.049999999999997</v>
      </c>
      <c r="J749" t="s">
        <v>21</v>
      </c>
      <c r="K749" t="s">
        <v>22</v>
      </c>
      <c r="L749">
        <v>1283403600</v>
      </c>
      <c r="M749" s="9">
        <f t="shared" si="46"/>
        <v>40423.208333333336</v>
      </c>
      <c r="N749">
        <v>1284354000</v>
      </c>
      <c r="O749" s="9">
        <f t="shared" si="47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_xlfn.TEXTSPLIT(R749,"/")</f>
        <v>theater</v>
      </c>
      <c r="T749" t="str">
        <v>plays</v>
      </c>
    </row>
    <row r="750" spans="1:20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44"/>
        <v>0.34960000000000002</v>
      </c>
      <c r="G750" t="s">
        <v>74</v>
      </c>
      <c r="H750">
        <v>614</v>
      </c>
      <c r="I750" s="5">
        <f t="shared" si="45"/>
        <v>110.97</v>
      </c>
      <c r="J750" t="s">
        <v>21</v>
      </c>
      <c r="K750" t="s">
        <v>22</v>
      </c>
      <c r="L750">
        <v>1267423200</v>
      </c>
      <c r="M750" s="9">
        <f t="shared" si="46"/>
        <v>40238.25</v>
      </c>
      <c r="N750">
        <v>1269579600</v>
      </c>
      <c r="O750" s="9">
        <f t="shared" si="47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_xlfn.TEXTSPLIT(R750,"/")</f>
        <v>film &amp; video</v>
      </c>
      <c r="T750" t="str">
        <v>animation</v>
      </c>
    </row>
    <row r="751" spans="1:20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44"/>
        <v>1.5729</v>
      </c>
      <c r="G751" t="s">
        <v>20</v>
      </c>
      <c r="H751">
        <v>366</v>
      </c>
      <c r="I751" s="5">
        <f t="shared" si="45"/>
        <v>36.96</v>
      </c>
      <c r="J751" t="s">
        <v>107</v>
      </c>
      <c r="K751" t="s">
        <v>108</v>
      </c>
      <c r="L751">
        <v>1412744400</v>
      </c>
      <c r="M751" s="9">
        <f t="shared" si="46"/>
        <v>41920.208333333336</v>
      </c>
      <c r="N751">
        <v>1413781200</v>
      </c>
      <c r="O751" s="9">
        <f t="shared" si="47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_xlfn.TEXTSPLIT(R751,"/")</f>
        <v>technology</v>
      </c>
      <c r="T751" t="str">
        <v>wearables</v>
      </c>
    </row>
    <row r="752" spans="1:20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44"/>
        <v>0.01</v>
      </c>
      <c r="G752" t="s">
        <v>14</v>
      </c>
      <c r="H752">
        <v>1</v>
      </c>
      <c r="I752" s="5">
        <f t="shared" si="45"/>
        <v>1</v>
      </c>
      <c r="J752" t="s">
        <v>40</v>
      </c>
      <c r="K752" t="s">
        <v>41</v>
      </c>
      <c r="L752">
        <v>1277960400</v>
      </c>
      <c r="M752" s="9">
        <f t="shared" si="46"/>
        <v>40360.208333333336</v>
      </c>
      <c r="N752">
        <v>1280120400</v>
      </c>
      <c r="O752" s="9">
        <f t="shared" si="47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_xlfn.TEXTSPLIT(R752,"/")</f>
        <v>music</v>
      </c>
      <c r="T752" t="str">
        <v>electric music</v>
      </c>
    </row>
    <row r="753" spans="1:20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44"/>
        <v>2.3231000000000002</v>
      </c>
      <c r="G753" t="s">
        <v>20</v>
      </c>
      <c r="H753">
        <v>270</v>
      </c>
      <c r="I753" s="5">
        <f t="shared" si="45"/>
        <v>30.97</v>
      </c>
      <c r="J753" t="s">
        <v>21</v>
      </c>
      <c r="K753" t="s">
        <v>22</v>
      </c>
      <c r="L753">
        <v>1458190800</v>
      </c>
      <c r="M753" s="9">
        <f t="shared" si="46"/>
        <v>42446.208333333328</v>
      </c>
      <c r="N753">
        <v>1459486800</v>
      </c>
      <c r="O753" s="9">
        <f t="shared" si="47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_xlfn.TEXTSPLIT(R753,"/")</f>
        <v>publishing</v>
      </c>
      <c r="T753" t="str">
        <v>nonfiction</v>
      </c>
    </row>
    <row r="754" spans="1:20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44"/>
        <v>0.92449999999999999</v>
      </c>
      <c r="G754" t="s">
        <v>74</v>
      </c>
      <c r="H754">
        <v>114</v>
      </c>
      <c r="I754" s="5">
        <f t="shared" si="45"/>
        <v>47.04</v>
      </c>
      <c r="J754" t="s">
        <v>21</v>
      </c>
      <c r="K754" t="s">
        <v>22</v>
      </c>
      <c r="L754">
        <v>1280984400</v>
      </c>
      <c r="M754" s="9">
        <f t="shared" si="46"/>
        <v>40395.208333333336</v>
      </c>
      <c r="N754">
        <v>1282539600</v>
      </c>
      <c r="O754" s="9">
        <f t="shared" si="47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_xlfn.TEXTSPLIT(R754,"/")</f>
        <v>theater</v>
      </c>
      <c r="T754" t="str">
        <v>plays</v>
      </c>
    </row>
    <row r="755" spans="1:20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44"/>
        <v>2.5670000000000002</v>
      </c>
      <c r="G755" t="s">
        <v>20</v>
      </c>
      <c r="H755">
        <v>137</v>
      </c>
      <c r="I755" s="5">
        <f t="shared" si="45"/>
        <v>88.07</v>
      </c>
      <c r="J755" t="s">
        <v>21</v>
      </c>
      <c r="K755" t="s">
        <v>22</v>
      </c>
      <c r="L755">
        <v>1274590800</v>
      </c>
      <c r="M755" s="9">
        <f t="shared" si="46"/>
        <v>40321.208333333336</v>
      </c>
      <c r="N755">
        <v>1275886800</v>
      </c>
      <c r="O755" s="9">
        <f t="shared" si="47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_xlfn.TEXTSPLIT(R755,"/")</f>
        <v>photography</v>
      </c>
      <c r="T755" t="str">
        <v>photography books</v>
      </c>
    </row>
    <row r="756" spans="1:20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44"/>
        <v>1.6847000000000001</v>
      </c>
      <c r="G756" t="s">
        <v>20</v>
      </c>
      <c r="H756">
        <v>3205</v>
      </c>
      <c r="I756" s="5">
        <f t="shared" si="45"/>
        <v>37.01</v>
      </c>
      <c r="J756" t="s">
        <v>21</v>
      </c>
      <c r="K756" t="s">
        <v>22</v>
      </c>
      <c r="L756">
        <v>1351400400</v>
      </c>
      <c r="M756" s="9">
        <f t="shared" si="46"/>
        <v>41210.208333333336</v>
      </c>
      <c r="N756">
        <v>1355983200</v>
      </c>
      <c r="O756" s="9">
        <f t="shared" si="47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_xlfn.TEXTSPLIT(R756,"/")</f>
        <v>theater</v>
      </c>
      <c r="T756" t="str">
        <v>plays</v>
      </c>
    </row>
    <row r="757" spans="1:20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44"/>
        <v>1.6657999999999999</v>
      </c>
      <c r="G757" t="s">
        <v>20</v>
      </c>
      <c r="H757">
        <v>288</v>
      </c>
      <c r="I757" s="5">
        <f t="shared" si="45"/>
        <v>26.03</v>
      </c>
      <c r="J757" t="s">
        <v>36</v>
      </c>
      <c r="K757" t="s">
        <v>37</v>
      </c>
      <c r="L757">
        <v>1514354400</v>
      </c>
      <c r="M757" s="9">
        <f t="shared" si="46"/>
        <v>43096.25</v>
      </c>
      <c r="N757">
        <v>1515391200</v>
      </c>
      <c r="O757" s="9">
        <f t="shared" si="47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_xlfn.TEXTSPLIT(R757,"/")</f>
        <v>theater</v>
      </c>
      <c r="T757" t="str">
        <v>plays</v>
      </c>
    </row>
    <row r="758" spans="1:20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44"/>
        <v>7.7207999999999997</v>
      </c>
      <c r="G758" t="s">
        <v>20</v>
      </c>
      <c r="H758">
        <v>148</v>
      </c>
      <c r="I758" s="5">
        <f t="shared" si="45"/>
        <v>67.819999999999993</v>
      </c>
      <c r="J758" t="s">
        <v>21</v>
      </c>
      <c r="K758" t="s">
        <v>22</v>
      </c>
      <c r="L758">
        <v>1421733600</v>
      </c>
      <c r="M758" s="9">
        <f t="shared" si="46"/>
        <v>42024.25</v>
      </c>
      <c r="N758">
        <v>1422252000</v>
      </c>
      <c r="O758" s="9">
        <f t="shared" si="47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_xlfn.TEXTSPLIT(R758,"/")</f>
        <v>theater</v>
      </c>
      <c r="T758" t="str">
        <v>plays</v>
      </c>
    </row>
    <row r="759" spans="1:20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44"/>
        <v>4.0686</v>
      </c>
      <c r="G759" t="s">
        <v>20</v>
      </c>
      <c r="H759">
        <v>114</v>
      </c>
      <c r="I759" s="5">
        <f t="shared" si="45"/>
        <v>49.96</v>
      </c>
      <c r="J759" t="s">
        <v>21</v>
      </c>
      <c r="K759" t="s">
        <v>22</v>
      </c>
      <c r="L759">
        <v>1305176400</v>
      </c>
      <c r="M759" s="9">
        <f t="shared" si="46"/>
        <v>40675.208333333336</v>
      </c>
      <c r="N759">
        <v>1305522000</v>
      </c>
      <c r="O759" s="9">
        <f t="shared" si="47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_xlfn.TEXTSPLIT(R759,"/")</f>
        <v>film &amp; video</v>
      </c>
      <c r="T759" t="str">
        <v>drama</v>
      </c>
    </row>
    <row r="760" spans="1:20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44"/>
        <v>5.6421000000000001</v>
      </c>
      <c r="G760" t="s">
        <v>20</v>
      </c>
      <c r="H760">
        <v>1518</v>
      </c>
      <c r="I760" s="5">
        <f t="shared" si="45"/>
        <v>110.02</v>
      </c>
      <c r="J760" t="s">
        <v>15</v>
      </c>
      <c r="K760" t="s">
        <v>16</v>
      </c>
      <c r="L760">
        <v>1414126800</v>
      </c>
      <c r="M760" s="9">
        <f t="shared" si="46"/>
        <v>41936.208333333336</v>
      </c>
      <c r="N760">
        <v>1414904400</v>
      </c>
      <c r="O760" s="9">
        <f t="shared" si="47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_xlfn.TEXTSPLIT(R760,"/")</f>
        <v>music</v>
      </c>
      <c r="T760" t="str">
        <v>rock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44"/>
        <v>0.68430000000000002</v>
      </c>
      <c r="G761" t="s">
        <v>14</v>
      </c>
      <c r="H761">
        <v>1274</v>
      </c>
      <c r="I761" s="5">
        <f t="shared" si="45"/>
        <v>89.96</v>
      </c>
      <c r="J761" t="s">
        <v>21</v>
      </c>
      <c r="K761" t="s">
        <v>22</v>
      </c>
      <c r="L761">
        <v>1517810400</v>
      </c>
      <c r="M761" s="9">
        <f t="shared" si="46"/>
        <v>43136.25</v>
      </c>
      <c r="N761">
        <v>1520402400</v>
      </c>
      <c r="O761" s="9">
        <f t="shared" si="47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_xlfn.TEXTSPLIT(R761,"/")</f>
        <v>music</v>
      </c>
      <c r="T761" t="str">
        <v>electric music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44"/>
        <v>0.34350000000000003</v>
      </c>
      <c r="G762" t="s">
        <v>14</v>
      </c>
      <c r="H762">
        <v>210</v>
      </c>
      <c r="I762" s="5">
        <f t="shared" si="45"/>
        <v>79.010000000000005</v>
      </c>
      <c r="J762" t="s">
        <v>107</v>
      </c>
      <c r="K762" t="s">
        <v>108</v>
      </c>
      <c r="L762">
        <v>1564635600</v>
      </c>
      <c r="M762" s="9">
        <f t="shared" si="46"/>
        <v>43678.208333333328</v>
      </c>
      <c r="N762">
        <v>1567141200</v>
      </c>
      <c r="O762" s="9">
        <f t="shared" si="47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_xlfn.TEXTSPLIT(R762,"/")</f>
        <v>games</v>
      </c>
      <c r="T762" t="str">
        <v>video games</v>
      </c>
    </row>
    <row r="763" spans="1:20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44"/>
        <v>6.5545</v>
      </c>
      <c r="G763" t="s">
        <v>20</v>
      </c>
      <c r="H763">
        <v>166</v>
      </c>
      <c r="I763" s="5">
        <f t="shared" si="45"/>
        <v>86.87</v>
      </c>
      <c r="J763" t="s">
        <v>21</v>
      </c>
      <c r="K763" t="s">
        <v>22</v>
      </c>
      <c r="L763">
        <v>1500699600</v>
      </c>
      <c r="M763" s="9">
        <f t="shared" si="46"/>
        <v>42938.208333333328</v>
      </c>
      <c r="N763">
        <v>1501131600</v>
      </c>
      <c r="O763" s="9">
        <f t="shared" si="47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_xlfn.TEXTSPLIT(R763,"/")</f>
        <v>music</v>
      </c>
      <c r="T763" t="str">
        <v>rock</v>
      </c>
    </row>
    <row r="764" spans="1:20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44"/>
        <v>1.7726</v>
      </c>
      <c r="G764" t="s">
        <v>20</v>
      </c>
      <c r="H764">
        <v>100</v>
      </c>
      <c r="I764" s="5">
        <f t="shared" si="45"/>
        <v>62.04</v>
      </c>
      <c r="J764" t="s">
        <v>26</v>
      </c>
      <c r="K764" t="s">
        <v>27</v>
      </c>
      <c r="L764">
        <v>1354082400</v>
      </c>
      <c r="M764" s="9">
        <f t="shared" si="46"/>
        <v>41241.25</v>
      </c>
      <c r="N764">
        <v>1355032800</v>
      </c>
      <c r="O764" s="9">
        <f t="shared" si="47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_xlfn.TEXTSPLIT(R764,"/")</f>
        <v>music</v>
      </c>
      <c r="T764" t="str">
        <v>jazz</v>
      </c>
    </row>
    <row r="765" spans="1:20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44"/>
        <v>1.1317999999999999</v>
      </c>
      <c r="G765" t="s">
        <v>20</v>
      </c>
      <c r="H765">
        <v>235</v>
      </c>
      <c r="I765" s="5">
        <f t="shared" si="45"/>
        <v>26.97</v>
      </c>
      <c r="J765" t="s">
        <v>21</v>
      </c>
      <c r="K765" t="s">
        <v>22</v>
      </c>
      <c r="L765">
        <v>1336453200</v>
      </c>
      <c r="M765" s="9">
        <f t="shared" si="46"/>
        <v>41037.208333333336</v>
      </c>
      <c r="N765">
        <v>1339477200</v>
      </c>
      <c r="O765" s="9">
        <f t="shared" si="47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_xlfn.TEXTSPLIT(R765,"/")</f>
        <v>theater</v>
      </c>
      <c r="T765" t="str">
        <v>plays</v>
      </c>
    </row>
    <row r="766" spans="1:20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44"/>
        <v>7.2817999999999996</v>
      </c>
      <c r="G766" t="s">
        <v>20</v>
      </c>
      <c r="H766">
        <v>148</v>
      </c>
      <c r="I766" s="5">
        <f t="shared" si="45"/>
        <v>54.12</v>
      </c>
      <c r="J766" t="s">
        <v>21</v>
      </c>
      <c r="K766" t="s">
        <v>22</v>
      </c>
      <c r="L766">
        <v>1305262800</v>
      </c>
      <c r="M766" s="9">
        <f t="shared" si="46"/>
        <v>40676.208333333336</v>
      </c>
      <c r="N766">
        <v>1305954000</v>
      </c>
      <c r="O766" s="9">
        <f t="shared" si="47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_xlfn.TEXTSPLIT(R766,"/")</f>
        <v>music</v>
      </c>
      <c r="T766" t="str">
        <v>rock</v>
      </c>
    </row>
    <row r="767" spans="1:20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44"/>
        <v>2.0832999999999999</v>
      </c>
      <c r="G767" t="s">
        <v>20</v>
      </c>
      <c r="H767">
        <v>198</v>
      </c>
      <c r="I767" s="5">
        <f t="shared" si="45"/>
        <v>41.04</v>
      </c>
      <c r="J767" t="s">
        <v>21</v>
      </c>
      <c r="K767" t="s">
        <v>22</v>
      </c>
      <c r="L767">
        <v>1492232400</v>
      </c>
      <c r="M767" s="9">
        <f t="shared" si="46"/>
        <v>42840.208333333328</v>
      </c>
      <c r="N767">
        <v>1494392400</v>
      </c>
      <c r="O767" s="9">
        <f t="shared" si="47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_xlfn.TEXTSPLIT(R767,"/")</f>
        <v>music</v>
      </c>
      <c r="T767" t="str">
        <v>indie rock</v>
      </c>
    </row>
    <row r="768" spans="1:20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44"/>
        <v>0.31169999999999998</v>
      </c>
      <c r="G768" t="s">
        <v>14</v>
      </c>
      <c r="H768">
        <v>248</v>
      </c>
      <c r="I768" s="5">
        <f t="shared" si="45"/>
        <v>55.05</v>
      </c>
      <c r="J768" t="s">
        <v>26</v>
      </c>
      <c r="K768" t="s">
        <v>27</v>
      </c>
      <c r="L768">
        <v>1537333200</v>
      </c>
      <c r="M768" s="9">
        <f t="shared" si="46"/>
        <v>43362.208333333328</v>
      </c>
      <c r="N768">
        <v>1537419600</v>
      </c>
      <c r="O768" s="9">
        <f t="shared" si="47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_xlfn.TEXTSPLIT(R768,"/")</f>
        <v>film &amp; video</v>
      </c>
      <c r="T768" t="str">
        <v>science fiction</v>
      </c>
    </row>
    <row r="769" spans="1:20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44"/>
        <v>0.56969999999999998</v>
      </c>
      <c r="G769" t="s">
        <v>14</v>
      </c>
      <c r="H769">
        <v>513</v>
      </c>
      <c r="I769" s="5">
        <f t="shared" si="45"/>
        <v>107.94</v>
      </c>
      <c r="J769" t="s">
        <v>21</v>
      </c>
      <c r="K769" t="s">
        <v>22</v>
      </c>
      <c r="L769">
        <v>1444107600</v>
      </c>
      <c r="M769" s="9">
        <f t="shared" si="46"/>
        <v>42283.208333333328</v>
      </c>
      <c r="N769">
        <v>1447999200</v>
      </c>
      <c r="O769" s="9">
        <f t="shared" si="47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_xlfn.TEXTSPLIT(R769,"/")</f>
        <v>publishing</v>
      </c>
      <c r="T769" t="str">
        <v>translations</v>
      </c>
    </row>
    <row r="770" spans="1:20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44"/>
        <v>2.31</v>
      </c>
      <c r="G770" t="s">
        <v>20</v>
      </c>
      <c r="H770">
        <v>150</v>
      </c>
      <c r="I770" s="5">
        <f t="shared" si="45"/>
        <v>73.92</v>
      </c>
      <c r="J770" t="s">
        <v>21</v>
      </c>
      <c r="K770" t="s">
        <v>22</v>
      </c>
      <c r="L770">
        <v>1386741600</v>
      </c>
      <c r="M770" s="9">
        <f t="shared" si="46"/>
        <v>41619.25</v>
      </c>
      <c r="N770">
        <v>1388037600</v>
      </c>
      <c r="O770" s="9">
        <f t="shared" si="47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_xlfn.TEXTSPLIT(R770,"/")</f>
        <v>theater</v>
      </c>
      <c r="T770" t="str">
        <v>plays</v>
      </c>
    </row>
    <row r="771" spans="1:20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ref="F771:F834" si="48">ROUND(E771/D771,4)</f>
        <v>0.86870000000000003</v>
      </c>
      <c r="G771" t="s">
        <v>14</v>
      </c>
      <c r="H771">
        <v>3410</v>
      </c>
      <c r="I771" s="5">
        <f t="shared" ref="I771:I834" si="49">IF(H771=0,"0",(ROUND(E771/H771,2)))</f>
        <v>32</v>
      </c>
      <c r="J771" t="s">
        <v>21</v>
      </c>
      <c r="K771" t="s">
        <v>22</v>
      </c>
      <c r="L771">
        <v>1376542800</v>
      </c>
      <c r="M771" s="9">
        <f t="shared" ref="M771:M834" si="50">(((L771/60)/60)/24)+DATE(1970,1,1)</f>
        <v>41501.208333333336</v>
      </c>
      <c r="N771">
        <v>1378789200</v>
      </c>
      <c r="O771" s="9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_xlfn.TEXTSPLIT(R771,"/")</f>
        <v>games</v>
      </c>
      <c r="T771" t="str">
        <v>video games</v>
      </c>
    </row>
    <row r="772" spans="1:20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si="48"/>
        <v>2.7073999999999998</v>
      </c>
      <c r="G772" t="s">
        <v>20</v>
      </c>
      <c r="H772">
        <v>216</v>
      </c>
      <c r="I772" s="5">
        <f t="shared" si="49"/>
        <v>53.9</v>
      </c>
      <c r="J772" t="s">
        <v>107</v>
      </c>
      <c r="K772" t="s">
        <v>108</v>
      </c>
      <c r="L772">
        <v>1397451600</v>
      </c>
      <c r="M772" s="9">
        <f t="shared" si="50"/>
        <v>41743.208333333336</v>
      </c>
      <c r="N772">
        <v>1398056400</v>
      </c>
      <c r="O772" s="9">
        <f t="shared" si="51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_xlfn.TEXTSPLIT(R772,"/")</f>
        <v>theater</v>
      </c>
      <c r="T772" t="str">
        <v>plays</v>
      </c>
    </row>
    <row r="773" spans="1:20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48"/>
        <v>0.4945</v>
      </c>
      <c r="G773" t="s">
        <v>74</v>
      </c>
      <c r="H773">
        <v>26</v>
      </c>
      <c r="I773" s="5">
        <f t="shared" si="49"/>
        <v>106.5</v>
      </c>
      <c r="J773" t="s">
        <v>21</v>
      </c>
      <c r="K773" t="s">
        <v>22</v>
      </c>
      <c r="L773">
        <v>1548482400</v>
      </c>
      <c r="M773" s="9">
        <f t="shared" si="50"/>
        <v>43491.25</v>
      </c>
      <c r="N773">
        <v>1550815200</v>
      </c>
      <c r="O773" s="9">
        <f t="shared" si="51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_xlfn.TEXTSPLIT(R773,"/")</f>
        <v>theater</v>
      </c>
      <c r="T773" t="str">
        <v>plays</v>
      </c>
    </row>
    <row r="774" spans="1:20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48"/>
        <v>1.1335999999999999</v>
      </c>
      <c r="G774" t="s">
        <v>20</v>
      </c>
      <c r="H774">
        <v>5139</v>
      </c>
      <c r="I774" s="5">
        <f t="shared" si="49"/>
        <v>33</v>
      </c>
      <c r="J774" t="s">
        <v>21</v>
      </c>
      <c r="K774" t="s">
        <v>22</v>
      </c>
      <c r="L774">
        <v>1549692000</v>
      </c>
      <c r="M774" s="9">
        <f t="shared" si="50"/>
        <v>43505.25</v>
      </c>
      <c r="N774">
        <v>1550037600</v>
      </c>
      <c r="O774" s="9">
        <f t="shared" si="51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_xlfn.TEXTSPLIT(R774,"/")</f>
        <v>music</v>
      </c>
      <c r="T774" t="str">
        <v>indie rock</v>
      </c>
    </row>
    <row r="775" spans="1:20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48"/>
        <v>1.9056</v>
      </c>
      <c r="G775" t="s">
        <v>20</v>
      </c>
      <c r="H775">
        <v>2353</v>
      </c>
      <c r="I775" s="5">
        <f t="shared" si="49"/>
        <v>43</v>
      </c>
      <c r="J775" t="s">
        <v>21</v>
      </c>
      <c r="K775" t="s">
        <v>22</v>
      </c>
      <c r="L775">
        <v>1492059600</v>
      </c>
      <c r="M775" s="9">
        <f t="shared" si="50"/>
        <v>42838.208333333328</v>
      </c>
      <c r="N775">
        <v>1492923600</v>
      </c>
      <c r="O775" s="9">
        <f t="shared" si="51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_xlfn.TEXTSPLIT(R775,"/")</f>
        <v>theater</v>
      </c>
      <c r="T775" t="str">
        <v>plays</v>
      </c>
    </row>
    <row r="776" spans="1:20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48"/>
        <v>1.355</v>
      </c>
      <c r="G776" t="s">
        <v>20</v>
      </c>
      <c r="H776">
        <v>78</v>
      </c>
      <c r="I776" s="5">
        <f t="shared" si="49"/>
        <v>86.86</v>
      </c>
      <c r="J776" t="s">
        <v>107</v>
      </c>
      <c r="K776" t="s">
        <v>108</v>
      </c>
      <c r="L776">
        <v>1463979600</v>
      </c>
      <c r="M776" s="9">
        <f t="shared" si="50"/>
        <v>42513.208333333328</v>
      </c>
      <c r="N776">
        <v>1467522000</v>
      </c>
      <c r="O776" s="9">
        <f t="shared" si="51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_xlfn.TEXTSPLIT(R776,"/")</f>
        <v>technology</v>
      </c>
      <c r="T776" t="str">
        <v>web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48"/>
        <v>0.10299999999999999</v>
      </c>
      <c r="G777" t="s">
        <v>14</v>
      </c>
      <c r="H777">
        <v>10</v>
      </c>
      <c r="I777" s="5">
        <f t="shared" si="49"/>
        <v>96.8</v>
      </c>
      <c r="J777" t="s">
        <v>21</v>
      </c>
      <c r="K777" t="s">
        <v>22</v>
      </c>
      <c r="L777">
        <v>1415253600</v>
      </c>
      <c r="M777" s="9">
        <f t="shared" si="50"/>
        <v>41949.25</v>
      </c>
      <c r="N777">
        <v>1416117600</v>
      </c>
      <c r="O777" s="9">
        <f t="shared" si="51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_xlfn.TEXTSPLIT(R777,"/")</f>
        <v>music</v>
      </c>
      <c r="T777" t="str">
        <v>rock</v>
      </c>
    </row>
    <row r="778" spans="1:20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48"/>
        <v>0.65539999999999998</v>
      </c>
      <c r="G778" t="s">
        <v>14</v>
      </c>
      <c r="H778">
        <v>2201</v>
      </c>
      <c r="I778" s="5">
        <f t="shared" si="49"/>
        <v>33</v>
      </c>
      <c r="J778" t="s">
        <v>21</v>
      </c>
      <c r="K778" t="s">
        <v>22</v>
      </c>
      <c r="L778">
        <v>1562216400</v>
      </c>
      <c r="M778" s="9">
        <f t="shared" si="50"/>
        <v>43650.208333333328</v>
      </c>
      <c r="N778">
        <v>1563771600</v>
      </c>
      <c r="O778" s="9">
        <f t="shared" si="51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_xlfn.TEXTSPLIT(R778,"/")</f>
        <v>theater</v>
      </c>
      <c r="T778" t="str">
        <v>plays</v>
      </c>
    </row>
    <row r="779" spans="1:20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48"/>
        <v>0.49030000000000001</v>
      </c>
      <c r="G779" t="s">
        <v>14</v>
      </c>
      <c r="H779">
        <v>676</v>
      </c>
      <c r="I779" s="5">
        <f t="shared" si="49"/>
        <v>68.03</v>
      </c>
      <c r="J779" t="s">
        <v>21</v>
      </c>
      <c r="K779" t="s">
        <v>22</v>
      </c>
      <c r="L779">
        <v>1316754000</v>
      </c>
      <c r="M779" s="9">
        <f t="shared" si="50"/>
        <v>40809.208333333336</v>
      </c>
      <c r="N779">
        <v>1319259600</v>
      </c>
      <c r="O779" s="9">
        <f t="shared" si="51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_xlfn.TEXTSPLIT(R779,"/")</f>
        <v>theater</v>
      </c>
      <c r="T779" t="str">
        <v>plays</v>
      </c>
    </row>
    <row r="780" spans="1:20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48"/>
        <v>7.8792</v>
      </c>
      <c r="G780" t="s">
        <v>20</v>
      </c>
      <c r="H780">
        <v>174</v>
      </c>
      <c r="I780" s="5">
        <f t="shared" si="49"/>
        <v>58.87</v>
      </c>
      <c r="J780" t="s">
        <v>98</v>
      </c>
      <c r="K780" t="s">
        <v>99</v>
      </c>
      <c r="L780">
        <v>1313211600</v>
      </c>
      <c r="M780" s="9">
        <f t="shared" si="50"/>
        <v>40768.208333333336</v>
      </c>
      <c r="N780">
        <v>1313643600</v>
      </c>
      <c r="O780" s="9">
        <f t="shared" si="51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_xlfn.TEXTSPLIT(R780,"/")</f>
        <v>film &amp; video</v>
      </c>
      <c r="T780" t="str">
        <v>animation</v>
      </c>
    </row>
    <row r="781" spans="1:20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48"/>
        <v>0.80310000000000004</v>
      </c>
      <c r="G781" t="s">
        <v>14</v>
      </c>
      <c r="H781">
        <v>831</v>
      </c>
      <c r="I781" s="5">
        <f t="shared" si="49"/>
        <v>105.05</v>
      </c>
      <c r="J781" t="s">
        <v>21</v>
      </c>
      <c r="K781" t="s">
        <v>22</v>
      </c>
      <c r="L781">
        <v>1439528400</v>
      </c>
      <c r="M781" s="9">
        <f t="shared" si="50"/>
        <v>42230.208333333328</v>
      </c>
      <c r="N781">
        <v>1440306000</v>
      </c>
      <c r="O781" s="9">
        <f t="shared" si="51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_xlfn.TEXTSPLIT(R781,"/")</f>
        <v>theater</v>
      </c>
      <c r="T781" t="str">
        <v>plays</v>
      </c>
    </row>
    <row r="782" spans="1:20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48"/>
        <v>1.0629</v>
      </c>
      <c r="G782" t="s">
        <v>20</v>
      </c>
      <c r="H782">
        <v>164</v>
      </c>
      <c r="I782" s="5">
        <f t="shared" si="49"/>
        <v>33.049999999999997</v>
      </c>
      <c r="J782" t="s">
        <v>21</v>
      </c>
      <c r="K782" t="s">
        <v>22</v>
      </c>
      <c r="L782">
        <v>1469163600</v>
      </c>
      <c r="M782" s="9">
        <f t="shared" si="50"/>
        <v>42573.208333333328</v>
      </c>
      <c r="N782">
        <v>1470805200</v>
      </c>
      <c r="O782" s="9">
        <f t="shared" si="51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_xlfn.TEXTSPLIT(R782,"/")</f>
        <v>film &amp; video</v>
      </c>
      <c r="T782" t="str">
        <v>drama</v>
      </c>
    </row>
    <row r="783" spans="1:20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48"/>
        <v>0.50739999999999996</v>
      </c>
      <c r="G783" t="s">
        <v>74</v>
      </c>
      <c r="H783">
        <v>56</v>
      </c>
      <c r="I783" s="5">
        <f t="shared" si="49"/>
        <v>78.819999999999993</v>
      </c>
      <c r="J783" t="s">
        <v>98</v>
      </c>
      <c r="K783" t="s">
        <v>99</v>
      </c>
      <c r="L783">
        <v>1288501200</v>
      </c>
      <c r="M783" s="9">
        <f t="shared" si="50"/>
        <v>40482.208333333336</v>
      </c>
      <c r="N783">
        <v>1292911200</v>
      </c>
      <c r="O783" s="9">
        <f t="shared" si="51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_xlfn.TEXTSPLIT(R783,"/")</f>
        <v>theater</v>
      </c>
      <c r="T783" t="str">
        <v>plays</v>
      </c>
    </row>
    <row r="784" spans="1:20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48"/>
        <v>2.1530999999999998</v>
      </c>
      <c r="G784" t="s">
        <v>20</v>
      </c>
      <c r="H784">
        <v>161</v>
      </c>
      <c r="I784" s="5">
        <f t="shared" si="49"/>
        <v>68.2</v>
      </c>
      <c r="J784" t="s">
        <v>21</v>
      </c>
      <c r="K784" t="s">
        <v>22</v>
      </c>
      <c r="L784">
        <v>1298959200</v>
      </c>
      <c r="M784" s="9">
        <f t="shared" si="50"/>
        <v>40603.25</v>
      </c>
      <c r="N784">
        <v>1301374800</v>
      </c>
      <c r="O784" s="9">
        <f t="shared" si="51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_xlfn.TEXTSPLIT(R784,"/")</f>
        <v>film &amp; video</v>
      </c>
      <c r="T784" t="str">
        <v>animation</v>
      </c>
    </row>
    <row r="785" spans="1:20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48"/>
        <v>1.4123000000000001</v>
      </c>
      <c r="G785" t="s">
        <v>20</v>
      </c>
      <c r="H785">
        <v>138</v>
      </c>
      <c r="I785" s="5">
        <f t="shared" si="49"/>
        <v>75.73</v>
      </c>
      <c r="J785" t="s">
        <v>21</v>
      </c>
      <c r="K785" t="s">
        <v>22</v>
      </c>
      <c r="L785">
        <v>1387260000</v>
      </c>
      <c r="M785" s="9">
        <f t="shared" si="50"/>
        <v>41625.25</v>
      </c>
      <c r="N785">
        <v>1387864800</v>
      </c>
      <c r="O785" s="9">
        <f t="shared" si="51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_xlfn.TEXTSPLIT(R785,"/")</f>
        <v>music</v>
      </c>
      <c r="T785" t="str">
        <v>rock</v>
      </c>
    </row>
    <row r="786" spans="1:20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48"/>
        <v>1.1534</v>
      </c>
      <c r="G786" t="s">
        <v>20</v>
      </c>
      <c r="H786">
        <v>3308</v>
      </c>
      <c r="I786" s="5">
        <f t="shared" si="49"/>
        <v>31</v>
      </c>
      <c r="J786" t="s">
        <v>21</v>
      </c>
      <c r="K786" t="s">
        <v>22</v>
      </c>
      <c r="L786">
        <v>1457244000</v>
      </c>
      <c r="M786" s="9">
        <f t="shared" si="50"/>
        <v>42435.25</v>
      </c>
      <c r="N786">
        <v>1458190800</v>
      </c>
      <c r="O786" s="9">
        <f t="shared" si="51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_xlfn.TEXTSPLIT(R786,"/")</f>
        <v>technology</v>
      </c>
      <c r="T786" t="str">
        <v>web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48"/>
        <v>1.9312</v>
      </c>
      <c r="G787" t="s">
        <v>20</v>
      </c>
      <c r="H787">
        <v>127</v>
      </c>
      <c r="I787" s="5">
        <f t="shared" si="49"/>
        <v>101.88</v>
      </c>
      <c r="J787" t="s">
        <v>26</v>
      </c>
      <c r="K787" t="s">
        <v>27</v>
      </c>
      <c r="L787">
        <v>1556341200</v>
      </c>
      <c r="M787" s="9">
        <f t="shared" si="50"/>
        <v>43582.208333333328</v>
      </c>
      <c r="N787">
        <v>1559278800</v>
      </c>
      <c r="O787" s="9">
        <f t="shared" si="51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_xlfn.TEXTSPLIT(R787,"/")</f>
        <v>film &amp; video</v>
      </c>
      <c r="T787" t="str">
        <v>animation</v>
      </c>
    </row>
    <row r="788" spans="1:20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48"/>
        <v>7.2972999999999999</v>
      </c>
      <c r="G788" t="s">
        <v>20</v>
      </c>
      <c r="H788">
        <v>207</v>
      </c>
      <c r="I788" s="5">
        <f t="shared" si="49"/>
        <v>52.88</v>
      </c>
      <c r="J788" t="s">
        <v>107</v>
      </c>
      <c r="K788" t="s">
        <v>108</v>
      </c>
      <c r="L788">
        <v>1522126800</v>
      </c>
      <c r="M788" s="9">
        <f t="shared" si="50"/>
        <v>43186.208333333328</v>
      </c>
      <c r="N788">
        <v>1522731600</v>
      </c>
      <c r="O788" s="9">
        <f t="shared" si="51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_xlfn.TEXTSPLIT(R788,"/")</f>
        <v>music</v>
      </c>
      <c r="T788" t="str">
        <v>jazz</v>
      </c>
    </row>
    <row r="789" spans="1:20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48"/>
        <v>0.99660000000000004</v>
      </c>
      <c r="G789" t="s">
        <v>14</v>
      </c>
      <c r="H789">
        <v>859</v>
      </c>
      <c r="I789" s="5">
        <f t="shared" si="49"/>
        <v>71.010000000000005</v>
      </c>
      <c r="J789" t="s">
        <v>15</v>
      </c>
      <c r="K789" t="s">
        <v>16</v>
      </c>
      <c r="L789">
        <v>1305954000</v>
      </c>
      <c r="M789" s="9">
        <f t="shared" si="50"/>
        <v>40684.208333333336</v>
      </c>
      <c r="N789">
        <v>1306731600</v>
      </c>
      <c r="O789" s="9">
        <f t="shared" si="51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_xlfn.TEXTSPLIT(R789,"/")</f>
        <v>music</v>
      </c>
      <c r="T789" t="str">
        <v>rock</v>
      </c>
    </row>
    <row r="790" spans="1:20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48"/>
        <v>0.88170000000000004</v>
      </c>
      <c r="G790" t="s">
        <v>47</v>
      </c>
      <c r="H790">
        <v>31</v>
      </c>
      <c r="I790" s="5">
        <f t="shared" si="49"/>
        <v>102.39</v>
      </c>
      <c r="J790" t="s">
        <v>21</v>
      </c>
      <c r="K790" t="s">
        <v>22</v>
      </c>
      <c r="L790">
        <v>1350709200</v>
      </c>
      <c r="M790" s="9">
        <f t="shared" si="50"/>
        <v>41202.208333333336</v>
      </c>
      <c r="N790">
        <v>1352527200</v>
      </c>
      <c r="O790" s="9">
        <f t="shared" si="51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_xlfn.TEXTSPLIT(R790,"/")</f>
        <v>film &amp; video</v>
      </c>
      <c r="T790" t="str">
        <v>animation</v>
      </c>
    </row>
    <row r="791" spans="1:20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48"/>
        <v>0.37230000000000002</v>
      </c>
      <c r="G791" t="s">
        <v>14</v>
      </c>
      <c r="H791">
        <v>45</v>
      </c>
      <c r="I791" s="5">
        <f t="shared" si="49"/>
        <v>74.47</v>
      </c>
      <c r="J791" t="s">
        <v>21</v>
      </c>
      <c r="K791" t="s">
        <v>22</v>
      </c>
      <c r="L791">
        <v>1401166800</v>
      </c>
      <c r="M791" s="9">
        <f t="shared" si="50"/>
        <v>41786.208333333336</v>
      </c>
      <c r="N791">
        <v>1404363600</v>
      </c>
      <c r="O791" s="9">
        <f t="shared" si="51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_xlfn.TEXTSPLIT(R791,"/")</f>
        <v>theater</v>
      </c>
      <c r="T791" t="str">
        <v>plays</v>
      </c>
    </row>
    <row r="792" spans="1:20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48"/>
        <v>0.3054</v>
      </c>
      <c r="G792" t="s">
        <v>74</v>
      </c>
      <c r="H792">
        <v>1113</v>
      </c>
      <c r="I792" s="5">
        <f t="shared" si="49"/>
        <v>51.01</v>
      </c>
      <c r="J792" t="s">
        <v>21</v>
      </c>
      <c r="K792" t="s">
        <v>22</v>
      </c>
      <c r="L792">
        <v>1266127200</v>
      </c>
      <c r="M792" s="9">
        <f t="shared" si="50"/>
        <v>40223.25</v>
      </c>
      <c r="N792">
        <v>1266645600</v>
      </c>
      <c r="O792" s="9">
        <f t="shared" si="51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_xlfn.TEXTSPLIT(R792,"/")</f>
        <v>theater</v>
      </c>
      <c r="T792" t="str">
        <v>plays</v>
      </c>
    </row>
    <row r="793" spans="1:20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48"/>
        <v>0.2571</v>
      </c>
      <c r="G793" t="s">
        <v>14</v>
      </c>
      <c r="H793">
        <v>6</v>
      </c>
      <c r="I793" s="5">
        <f t="shared" si="49"/>
        <v>90</v>
      </c>
      <c r="J793" t="s">
        <v>21</v>
      </c>
      <c r="K793" t="s">
        <v>22</v>
      </c>
      <c r="L793">
        <v>1481436000</v>
      </c>
      <c r="M793" s="9">
        <f t="shared" si="50"/>
        <v>42715.25</v>
      </c>
      <c r="N793">
        <v>1482818400</v>
      </c>
      <c r="O793" s="9">
        <f t="shared" si="51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_xlfn.TEXTSPLIT(R793,"/")</f>
        <v>food</v>
      </c>
      <c r="T793" t="str">
        <v>food trucks</v>
      </c>
    </row>
    <row r="794" spans="1:20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48"/>
        <v>0.34</v>
      </c>
      <c r="G794" t="s">
        <v>14</v>
      </c>
      <c r="H794">
        <v>7</v>
      </c>
      <c r="I794" s="5">
        <f t="shared" si="49"/>
        <v>97.14</v>
      </c>
      <c r="J794" t="s">
        <v>21</v>
      </c>
      <c r="K794" t="s">
        <v>22</v>
      </c>
      <c r="L794">
        <v>1372222800</v>
      </c>
      <c r="M794" s="9">
        <f t="shared" si="50"/>
        <v>41451.208333333336</v>
      </c>
      <c r="N794">
        <v>1374642000</v>
      </c>
      <c r="O794" s="9">
        <f t="shared" si="51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_xlfn.TEXTSPLIT(R794,"/")</f>
        <v>theater</v>
      </c>
      <c r="T794" t="str">
        <v>plays</v>
      </c>
    </row>
    <row r="795" spans="1:20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48"/>
        <v>11.8591</v>
      </c>
      <c r="G795" t="s">
        <v>20</v>
      </c>
      <c r="H795">
        <v>181</v>
      </c>
      <c r="I795" s="5">
        <f t="shared" si="49"/>
        <v>72.069999999999993</v>
      </c>
      <c r="J795" t="s">
        <v>98</v>
      </c>
      <c r="K795" t="s">
        <v>99</v>
      </c>
      <c r="L795">
        <v>1372136400</v>
      </c>
      <c r="M795" s="9">
        <f t="shared" si="50"/>
        <v>41450.208333333336</v>
      </c>
      <c r="N795">
        <v>1372482000</v>
      </c>
      <c r="O795" s="9">
        <f t="shared" si="51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_xlfn.TEXTSPLIT(R795,"/")</f>
        <v>publishing</v>
      </c>
      <c r="T795" t="str">
        <v>nonfiction</v>
      </c>
    </row>
    <row r="796" spans="1:20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48"/>
        <v>1.2539</v>
      </c>
      <c r="G796" t="s">
        <v>20</v>
      </c>
      <c r="H796">
        <v>110</v>
      </c>
      <c r="I796" s="5">
        <f t="shared" si="49"/>
        <v>75.239999999999995</v>
      </c>
      <c r="J796" t="s">
        <v>21</v>
      </c>
      <c r="K796" t="s">
        <v>22</v>
      </c>
      <c r="L796">
        <v>1513922400</v>
      </c>
      <c r="M796" s="9">
        <f t="shared" si="50"/>
        <v>43091.25</v>
      </c>
      <c r="N796">
        <v>1514959200</v>
      </c>
      <c r="O796" s="9">
        <f t="shared" si="51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_xlfn.TEXTSPLIT(R796,"/")</f>
        <v>music</v>
      </c>
      <c r="T796" t="str">
        <v>rock</v>
      </c>
    </row>
    <row r="797" spans="1:20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48"/>
        <v>0.1439</v>
      </c>
      <c r="G797" t="s">
        <v>14</v>
      </c>
      <c r="H797">
        <v>31</v>
      </c>
      <c r="I797" s="5">
        <f t="shared" si="49"/>
        <v>32.97</v>
      </c>
      <c r="J797" t="s">
        <v>21</v>
      </c>
      <c r="K797" t="s">
        <v>22</v>
      </c>
      <c r="L797">
        <v>1477976400</v>
      </c>
      <c r="M797" s="9">
        <f t="shared" si="50"/>
        <v>42675.208333333328</v>
      </c>
      <c r="N797">
        <v>1478235600</v>
      </c>
      <c r="O797" s="9">
        <f t="shared" si="51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_xlfn.TEXTSPLIT(R797,"/")</f>
        <v>film &amp; video</v>
      </c>
      <c r="T797" t="str">
        <v>drama</v>
      </c>
    </row>
    <row r="798" spans="1:20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48"/>
        <v>0.54810000000000003</v>
      </c>
      <c r="G798" t="s">
        <v>14</v>
      </c>
      <c r="H798">
        <v>78</v>
      </c>
      <c r="I798" s="5">
        <f t="shared" si="49"/>
        <v>54.81</v>
      </c>
      <c r="J798" t="s">
        <v>21</v>
      </c>
      <c r="K798" t="s">
        <v>22</v>
      </c>
      <c r="L798">
        <v>1407474000</v>
      </c>
      <c r="M798" s="9">
        <f t="shared" si="50"/>
        <v>41859.208333333336</v>
      </c>
      <c r="N798">
        <v>1408078800</v>
      </c>
      <c r="O798" s="9">
        <f t="shared" si="51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_xlfn.TEXTSPLIT(R798,"/")</f>
        <v>games</v>
      </c>
      <c r="T798" t="str">
        <v>mobile games</v>
      </c>
    </row>
    <row r="799" spans="1:20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48"/>
        <v>1.0963000000000001</v>
      </c>
      <c r="G799" t="s">
        <v>20</v>
      </c>
      <c r="H799">
        <v>185</v>
      </c>
      <c r="I799" s="5">
        <f t="shared" si="49"/>
        <v>45.04</v>
      </c>
      <c r="J799" t="s">
        <v>21</v>
      </c>
      <c r="K799" t="s">
        <v>22</v>
      </c>
      <c r="L799">
        <v>1546149600</v>
      </c>
      <c r="M799" s="9">
        <f t="shared" si="50"/>
        <v>43464.25</v>
      </c>
      <c r="N799">
        <v>1548136800</v>
      </c>
      <c r="O799" s="9">
        <f t="shared" si="51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_xlfn.TEXTSPLIT(R799,"/")</f>
        <v>technology</v>
      </c>
      <c r="T799" t="str">
        <v>web</v>
      </c>
    </row>
    <row r="800" spans="1:20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48"/>
        <v>1.8847</v>
      </c>
      <c r="G800" t="s">
        <v>20</v>
      </c>
      <c r="H800">
        <v>121</v>
      </c>
      <c r="I800" s="5">
        <f t="shared" si="49"/>
        <v>52.96</v>
      </c>
      <c r="J800" t="s">
        <v>21</v>
      </c>
      <c r="K800" t="s">
        <v>22</v>
      </c>
      <c r="L800">
        <v>1338440400</v>
      </c>
      <c r="M800" s="9">
        <f t="shared" si="50"/>
        <v>41060.208333333336</v>
      </c>
      <c r="N800">
        <v>1340859600</v>
      </c>
      <c r="O800" s="9">
        <f t="shared" si="51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_xlfn.TEXTSPLIT(R800,"/")</f>
        <v>theater</v>
      </c>
      <c r="T800" t="str">
        <v>plays</v>
      </c>
    </row>
    <row r="801" spans="1:20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48"/>
        <v>0.87009999999999998</v>
      </c>
      <c r="G801" t="s">
        <v>14</v>
      </c>
      <c r="H801">
        <v>1225</v>
      </c>
      <c r="I801" s="5">
        <f t="shared" si="49"/>
        <v>60.02</v>
      </c>
      <c r="J801" t="s">
        <v>40</v>
      </c>
      <c r="K801" t="s">
        <v>41</v>
      </c>
      <c r="L801">
        <v>1454133600</v>
      </c>
      <c r="M801" s="9">
        <f t="shared" si="50"/>
        <v>42399.25</v>
      </c>
      <c r="N801">
        <v>1454479200</v>
      </c>
      <c r="O801" s="9">
        <f t="shared" si="51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_xlfn.TEXTSPLIT(R801,"/")</f>
        <v>theater</v>
      </c>
      <c r="T801" t="str">
        <v>plays</v>
      </c>
    </row>
    <row r="802" spans="1:20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48"/>
        <v>0.01</v>
      </c>
      <c r="G802" t="s">
        <v>14</v>
      </c>
      <c r="H802">
        <v>1</v>
      </c>
      <c r="I802" s="5">
        <f t="shared" si="49"/>
        <v>1</v>
      </c>
      <c r="J802" t="s">
        <v>98</v>
      </c>
      <c r="K802" t="s">
        <v>99</v>
      </c>
      <c r="L802">
        <v>1434085200</v>
      </c>
      <c r="M802" s="9">
        <f t="shared" si="50"/>
        <v>42167.208333333328</v>
      </c>
      <c r="N802">
        <v>1434430800</v>
      </c>
      <c r="O802" s="9">
        <f t="shared" si="51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_xlfn.TEXTSPLIT(R802,"/")</f>
        <v>music</v>
      </c>
      <c r="T802" t="str">
        <v>rock</v>
      </c>
    </row>
    <row r="803" spans="1:20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48"/>
        <v>2.0291000000000001</v>
      </c>
      <c r="G803" t="s">
        <v>20</v>
      </c>
      <c r="H803">
        <v>106</v>
      </c>
      <c r="I803" s="5">
        <f t="shared" si="49"/>
        <v>44.03</v>
      </c>
      <c r="J803" t="s">
        <v>21</v>
      </c>
      <c r="K803" t="s">
        <v>22</v>
      </c>
      <c r="L803">
        <v>1577772000</v>
      </c>
      <c r="M803" s="9">
        <f t="shared" si="50"/>
        <v>43830.25</v>
      </c>
      <c r="N803">
        <v>1579672800</v>
      </c>
      <c r="O803" s="9">
        <f t="shared" si="51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_xlfn.TEXTSPLIT(R803,"/")</f>
        <v>photography</v>
      </c>
      <c r="T803" t="str">
        <v>photography books</v>
      </c>
    </row>
    <row r="804" spans="1:20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48"/>
        <v>1.9702999999999999</v>
      </c>
      <c r="G804" t="s">
        <v>20</v>
      </c>
      <c r="H804">
        <v>142</v>
      </c>
      <c r="I804" s="5">
        <f t="shared" si="49"/>
        <v>86.03</v>
      </c>
      <c r="J804" t="s">
        <v>21</v>
      </c>
      <c r="K804" t="s">
        <v>22</v>
      </c>
      <c r="L804">
        <v>1562216400</v>
      </c>
      <c r="M804" s="9">
        <f t="shared" si="50"/>
        <v>43650.208333333328</v>
      </c>
      <c r="N804">
        <v>1562389200</v>
      </c>
      <c r="O804" s="9">
        <f t="shared" si="51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_xlfn.TEXTSPLIT(R804,"/")</f>
        <v>photography</v>
      </c>
      <c r="T804" t="str">
        <v>photography books</v>
      </c>
    </row>
    <row r="805" spans="1:20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48"/>
        <v>1.07</v>
      </c>
      <c r="G805" t="s">
        <v>20</v>
      </c>
      <c r="H805">
        <v>233</v>
      </c>
      <c r="I805" s="5">
        <f t="shared" si="49"/>
        <v>28.01</v>
      </c>
      <c r="J805" t="s">
        <v>21</v>
      </c>
      <c r="K805" t="s">
        <v>22</v>
      </c>
      <c r="L805">
        <v>1548568800</v>
      </c>
      <c r="M805" s="9">
        <f t="shared" si="50"/>
        <v>43492.25</v>
      </c>
      <c r="N805">
        <v>1551506400</v>
      </c>
      <c r="O805" s="9">
        <f t="shared" si="51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_xlfn.TEXTSPLIT(R805,"/")</f>
        <v>theater</v>
      </c>
      <c r="T805" t="str">
        <v>plays</v>
      </c>
    </row>
    <row r="806" spans="1:20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48"/>
        <v>2.6873</v>
      </c>
      <c r="G806" t="s">
        <v>20</v>
      </c>
      <c r="H806">
        <v>218</v>
      </c>
      <c r="I806" s="5">
        <f t="shared" si="49"/>
        <v>32.049999999999997</v>
      </c>
      <c r="J806" t="s">
        <v>21</v>
      </c>
      <c r="K806" t="s">
        <v>22</v>
      </c>
      <c r="L806">
        <v>1514872800</v>
      </c>
      <c r="M806" s="9">
        <f t="shared" si="50"/>
        <v>43102.25</v>
      </c>
      <c r="N806">
        <v>1516600800</v>
      </c>
      <c r="O806" s="9">
        <f t="shared" si="51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_xlfn.TEXTSPLIT(R806,"/")</f>
        <v>music</v>
      </c>
      <c r="T806" t="str">
        <v>rock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48"/>
        <v>0.50849999999999995</v>
      </c>
      <c r="G807" t="s">
        <v>14</v>
      </c>
      <c r="H807">
        <v>67</v>
      </c>
      <c r="I807" s="5">
        <f t="shared" si="49"/>
        <v>73.61</v>
      </c>
      <c r="J807" t="s">
        <v>26</v>
      </c>
      <c r="K807" t="s">
        <v>27</v>
      </c>
      <c r="L807">
        <v>1416031200</v>
      </c>
      <c r="M807" s="9">
        <f t="shared" si="50"/>
        <v>41958.25</v>
      </c>
      <c r="N807">
        <v>1420437600</v>
      </c>
      <c r="O807" s="9">
        <f t="shared" si="51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_xlfn.TEXTSPLIT(R807,"/")</f>
        <v>film &amp; video</v>
      </c>
      <c r="T807" t="str">
        <v>documentary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48"/>
        <v>11.802899999999999</v>
      </c>
      <c r="G808" t="s">
        <v>20</v>
      </c>
      <c r="H808">
        <v>76</v>
      </c>
      <c r="I808" s="5">
        <f t="shared" si="49"/>
        <v>108.71</v>
      </c>
      <c r="J808" t="s">
        <v>21</v>
      </c>
      <c r="K808" t="s">
        <v>22</v>
      </c>
      <c r="L808">
        <v>1330927200</v>
      </c>
      <c r="M808" s="9">
        <f t="shared" si="50"/>
        <v>40973.25</v>
      </c>
      <c r="N808">
        <v>1332997200</v>
      </c>
      <c r="O808" s="9">
        <f t="shared" si="51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_xlfn.TEXTSPLIT(R808,"/")</f>
        <v>film &amp; video</v>
      </c>
      <c r="T808" t="str">
        <v>drama</v>
      </c>
    </row>
    <row r="809" spans="1:20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48"/>
        <v>2.64</v>
      </c>
      <c r="G809" t="s">
        <v>20</v>
      </c>
      <c r="H809">
        <v>43</v>
      </c>
      <c r="I809" s="5">
        <f t="shared" si="49"/>
        <v>42.98</v>
      </c>
      <c r="J809" t="s">
        <v>21</v>
      </c>
      <c r="K809" t="s">
        <v>22</v>
      </c>
      <c r="L809">
        <v>1571115600</v>
      </c>
      <c r="M809" s="9">
        <f t="shared" si="50"/>
        <v>43753.208333333328</v>
      </c>
      <c r="N809">
        <v>1574920800</v>
      </c>
      <c r="O809" s="9">
        <f t="shared" si="51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_xlfn.TEXTSPLIT(R809,"/")</f>
        <v>theater</v>
      </c>
      <c r="T809" t="str">
        <v>plays</v>
      </c>
    </row>
    <row r="810" spans="1:20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48"/>
        <v>0.3044</v>
      </c>
      <c r="G810" t="s">
        <v>14</v>
      </c>
      <c r="H810">
        <v>19</v>
      </c>
      <c r="I810" s="5">
        <f t="shared" si="49"/>
        <v>83.32</v>
      </c>
      <c r="J810" t="s">
        <v>21</v>
      </c>
      <c r="K810" t="s">
        <v>22</v>
      </c>
      <c r="L810">
        <v>1463461200</v>
      </c>
      <c r="M810" s="9">
        <f t="shared" si="50"/>
        <v>42507.208333333328</v>
      </c>
      <c r="N810">
        <v>1464930000</v>
      </c>
      <c r="O810" s="9">
        <f t="shared" si="51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_xlfn.TEXTSPLIT(R810,"/")</f>
        <v>food</v>
      </c>
      <c r="T810" t="str">
        <v>food trucks</v>
      </c>
    </row>
    <row r="811" spans="1:20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48"/>
        <v>0.62880000000000003</v>
      </c>
      <c r="G811" t="s">
        <v>14</v>
      </c>
      <c r="H811">
        <v>2108</v>
      </c>
      <c r="I811" s="5">
        <f t="shared" si="49"/>
        <v>42</v>
      </c>
      <c r="J811" t="s">
        <v>98</v>
      </c>
      <c r="K811" t="s">
        <v>99</v>
      </c>
      <c r="L811">
        <v>1344920400</v>
      </c>
      <c r="M811" s="9">
        <f t="shared" si="50"/>
        <v>41135.208333333336</v>
      </c>
      <c r="N811">
        <v>1345006800</v>
      </c>
      <c r="O811" s="9">
        <f t="shared" si="51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_xlfn.TEXTSPLIT(R811,"/")</f>
        <v>film &amp; video</v>
      </c>
      <c r="T811" t="str">
        <v>documentary</v>
      </c>
    </row>
    <row r="812" spans="1:20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48"/>
        <v>1.9313</v>
      </c>
      <c r="G812" t="s">
        <v>20</v>
      </c>
      <c r="H812">
        <v>221</v>
      </c>
      <c r="I812" s="5">
        <f t="shared" si="49"/>
        <v>55.93</v>
      </c>
      <c r="J812" t="s">
        <v>21</v>
      </c>
      <c r="K812" t="s">
        <v>22</v>
      </c>
      <c r="L812">
        <v>1511848800</v>
      </c>
      <c r="M812" s="9">
        <f t="shared" si="50"/>
        <v>43067.25</v>
      </c>
      <c r="N812">
        <v>1512712800</v>
      </c>
      <c r="O812" s="9">
        <f t="shared" si="51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_xlfn.TEXTSPLIT(R812,"/")</f>
        <v>theater</v>
      </c>
      <c r="T812" t="str">
        <v>plays</v>
      </c>
    </row>
    <row r="813" spans="1:20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48"/>
        <v>0.77100000000000002</v>
      </c>
      <c r="G813" t="s">
        <v>14</v>
      </c>
      <c r="H813">
        <v>679</v>
      </c>
      <c r="I813" s="5">
        <f t="shared" si="49"/>
        <v>105.04</v>
      </c>
      <c r="J813" t="s">
        <v>21</v>
      </c>
      <c r="K813" t="s">
        <v>22</v>
      </c>
      <c r="L813">
        <v>1452319200</v>
      </c>
      <c r="M813" s="9">
        <f t="shared" si="50"/>
        <v>42378.25</v>
      </c>
      <c r="N813">
        <v>1452492000</v>
      </c>
      <c r="O813" s="9">
        <f t="shared" si="51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_xlfn.TEXTSPLIT(R813,"/")</f>
        <v>games</v>
      </c>
      <c r="T813" t="str">
        <v>video games</v>
      </c>
    </row>
    <row r="814" spans="1:20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48"/>
        <v>2.2553000000000001</v>
      </c>
      <c r="G814" t="s">
        <v>20</v>
      </c>
      <c r="H814">
        <v>2805</v>
      </c>
      <c r="I814" s="5">
        <f t="shared" si="49"/>
        <v>48</v>
      </c>
      <c r="J814" t="s">
        <v>15</v>
      </c>
      <c r="K814" t="s">
        <v>16</v>
      </c>
      <c r="L814">
        <v>1523854800</v>
      </c>
      <c r="M814" s="9">
        <f t="shared" si="50"/>
        <v>43206.208333333328</v>
      </c>
      <c r="N814">
        <v>1524286800</v>
      </c>
      <c r="O814" s="9">
        <f t="shared" si="51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_xlfn.TEXTSPLIT(R814,"/")</f>
        <v>publishing</v>
      </c>
      <c r="T814" t="str">
        <v>nonfiction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48"/>
        <v>2.3940999999999999</v>
      </c>
      <c r="G815" t="s">
        <v>20</v>
      </c>
      <c r="H815">
        <v>68</v>
      </c>
      <c r="I815" s="5">
        <f t="shared" si="49"/>
        <v>112.66</v>
      </c>
      <c r="J815" t="s">
        <v>21</v>
      </c>
      <c r="K815" t="s">
        <v>22</v>
      </c>
      <c r="L815">
        <v>1346043600</v>
      </c>
      <c r="M815" s="9">
        <f t="shared" si="50"/>
        <v>41148.208333333336</v>
      </c>
      <c r="N815">
        <v>1346907600</v>
      </c>
      <c r="O815" s="9">
        <f t="shared" si="51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_xlfn.TEXTSPLIT(R815,"/")</f>
        <v>games</v>
      </c>
      <c r="T815" t="str">
        <v>video games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48"/>
        <v>0.92190000000000005</v>
      </c>
      <c r="G816" t="s">
        <v>14</v>
      </c>
      <c r="H816">
        <v>36</v>
      </c>
      <c r="I816" s="5">
        <f t="shared" si="49"/>
        <v>81.94</v>
      </c>
      <c r="J816" t="s">
        <v>36</v>
      </c>
      <c r="K816" t="s">
        <v>37</v>
      </c>
      <c r="L816">
        <v>1464325200</v>
      </c>
      <c r="M816" s="9">
        <f t="shared" si="50"/>
        <v>42517.208333333328</v>
      </c>
      <c r="N816">
        <v>1464498000</v>
      </c>
      <c r="O816" s="9">
        <f t="shared" si="51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_xlfn.TEXTSPLIT(R816,"/")</f>
        <v>music</v>
      </c>
      <c r="T816" t="str">
        <v>rock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48"/>
        <v>1.3023</v>
      </c>
      <c r="G817" t="s">
        <v>20</v>
      </c>
      <c r="H817">
        <v>183</v>
      </c>
      <c r="I817" s="5">
        <f t="shared" si="49"/>
        <v>64.05</v>
      </c>
      <c r="J817" t="s">
        <v>15</v>
      </c>
      <c r="K817" t="s">
        <v>16</v>
      </c>
      <c r="L817">
        <v>1511935200</v>
      </c>
      <c r="M817" s="9">
        <f t="shared" si="50"/>
        <v>43068.25</v>
      </c>
      <c r="N817">
        <v>1514181600</v>
      </c>
      <c r="O817" s="9">
        <f t="shared" si="51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_xlfn.TEXTSPLIT(R817,"/")</f>
        <v>music</v>
      </c>
      <c r="T817" t="str">
        <v>rock</v>
      </c>
    </row>
    <row r="818" spans="1:20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48"/>
        <v>6.1521999999999997</v>
      </c>
      <c r="G818" t="s">
        <v>20</v>
      </c>
      <c r="H818">
        <v>133</v>
      </c>
      <c r="I818" s="5">
        <f t="shared" si="49"/>
        <v>106.39</v>
      </c>
      <c r="J818" t="s">
        <v>21</v>
      </c>
      <c r="K818" t="s">
        <v>22</v>
      </c>
      <c r="L818">
        <v>1392012000</v>
      </c>
      <c r="M818" s="9">
        <f t="shared" si="50"/>
        <v>41680.25</v>
      </c>
      <c r="N818">
        <v>1392184800</v>
      </c>
      <c r="O818" s="9">
        <f t="shared" si="51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_xlfn.TEXTSPLIT(R818,"/")</f>
        <v>theater</v>
      </c>
      <c r="T818" t="str">
        <v>plays</v>
      </c>
    </row>
    <row r="819" spans="1:20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48"/>
        <v>3.6880000000000002</v>
      </c>
      <c r="G819" t="s">
        <v>20</v>
      </c>
      <c r="H819">
        <v>2489</v>
      </c>
      <c r="I819" s="5">
        <f t="shared" si="49"/>
        <v>76.010000000000005</v>
      </c>
      <c r="J819" t="s">
        <v>107</v>
      </c>
      <c r="K819" t="s">
        <v>108</v>
      </c>
      <c r="L819">
        <v>1556946000</v>
      </c>
      <c r="M819" s="9">
        <f t="shared" si="50"/>
        <v>43589.208333333328</v>
      </c>
      <c r="N819">
        <v>1559365200</v>
      </c>
      <c r="O819" s="9">
        <f t="shared" si="51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_xlfn.TEXTSPLIT(R819,"/")</f>
        <v>publishing</v>
      </c>
      <c r="T819" t="str">
        <v>nonfiction</v>
      </c>
    </row>
    <row r="820" spans="1:20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48"/>
        <v>10.948600000000001</v>
      </c>
      <c r="G820" t="s">
        <v>20</v>
      </c>
      <c r="H820">
        <v>69</v>
      </c>
      <c r="I820" s="5">
        <f t="shared" si="49"/>
        <v>111.07</v>
      </c>
      <c r="J820" t="s">
        <v>21</v>
      </c>
      <c r="K820" t="s">
        <v>22</v>
      </c>
      <c r="L820">
        <v>1548050400</v>
      </c>
      <c r="M820" s="9">
        <f t="shared" si="50"/>
        <v>43486.25</v>
      </c>
      <c r="N820">
        <v>1549173600</v>
      </c>
      <c r="O820" s="9">
        <f t="shared" si="51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_xlfn.TEXTSPLIT(R820,"/")</f>
        <v>theater</v>
      </c>
      <c r="T820" t="str">
        <v>plays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48"/>
        <v>0.50660000000000005</v>
      </c>
      <c r="G821" t="s">
        <v>14</v>
      </c>
      <c r="H821">
        <v>47</v>
      </c>
      <c r="I821" s="5">
        <f t="shared" si="49"/>
        <v>95.94</v>
      </c>
      <c r="J821" t="s">
        <v>21</v>
      </c>
      <c r="K821" t="s">
        <v>22</v>
      </c>
      <c r="L821">
        <v>1353736800</v>
      </c>
      <c r="M821" s="9">
        <f t="shared" si="50"/>
        <v>41237.25</v>
      </c>
      <c r="N821">
        <v>1355032800</v>
      </c>
      <c r="O821" s="9">
        <f t="shared" si="51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_xlfn.TEXTSPLIT(R821,"/")</f>
        <v>games</v>
      </c>
      <c r="T821" t="str">
        <v>video games</v>
      </c>
    </row>
    <row r="822" spans="1:20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48"/>
        <v>8.0060000000000002</v>
      </c>
      <c r="G822" t="s">
        <v>20</v>
      </c>
      <c r="H822">
        <v>279</v>
      </c>
      <c r="I822" s="5">
        <f t="shared" si="49"/>
        <v>43.04</v>
      </c>
      <c r="J822" t="s">
        <v>40</v>
      </c>
      <c r="K822" t="s">
        <v>41</v>
      </c>
      <c r="L822">
        <v>1532840400</v>
      </c>
      <c r="M822" s="9">
        <f t="shared" si="50"/>
        <v>43310.208333333328</v>
      </c>
      <c r="N822">
        <v>1533963600</v>
      </c>
      <c r="O822" s="9">
        <f t="shared" si="51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_xlfn.TEXTSPLIT(R822,"/")</f>
        <v>music</v>
      </c>
      <c r="T822" t="str">
        <v>rock</v>
      </c>
    </row>
    <row r="823" spans="1:20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48"/>
        <v>2.9129</v>
      </c>
      <c r="G823" t="s">
        <v>20</v>
      </c>
      <c r="H823">
        <v>210</v>
      </c>
      <c r="I823" s="5">
        <f t="shared" si="49"/>
        <v>67.97</v>
      </c>
      <c r="J823" t="s">
        <v>21</v>
      </c>
      <c r="K823" t="s">
        <v>22</v>
      </c>
      <c r="L823">
        <v>1488261600</v>
      </c>
      <c r="M823" s="9">
        <f t="shared" si="50"/>
        <v>42794.25</v>
      </c>
      <c r="N823">
        <v>1489381200</v>
      </c>
      <c r="O823" s="9">
        <f t="shared" si="51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_xlfn.TEXTSPLIT(R823,"/")</f>
        <v>film &amp; video</v>
      </c>
      <c r="T823" t="str">
        <v>documentary</v>
      </c>
    </row>
    <row r="824" spans="1:20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48"/>
        <v>3.4996999999999998</v>
      </c>
      <c r="G824" t="s">
        <v>20</v>
      </c>
      <c r="H824">
        <v>2100</v>
      </c>
      <c r="I824" s="5">
        <f t="shared" si="49"/>
        <v>89.99</v>
      </c>
      <c r="J824" t="s">
        <v>21</v>
      </c>
      <c r="K824" t="s">
        <v>22</v>
      </c>
      <c r="L824">
        <v>1393567200</v>
      </c>
      <c r="M824" s="9">
        <f t="shared" si="50"/>
        <v>41698.25</v>
      </c>
      <c r="N824">
        <v>1395032400</v>
      </c>
      <c r="O824" s="9">
        <f t="shared" si="51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_xlfn.TEXTSPLIT(R824,"/")</f>
        <v>music</v>
      </c>
      <c r="T824" t="str">
        <v>rock</v>
      </c>
    </row>
    <row r="825" spans="1:20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48"/>
        <v>3.5707</v>
      </c>
      <c r="G825" t="s">
        <v>20</v>
      </c>
      <c r="H825">
        <v>252</v>
      </c>
      <c r="I825" s="5">
        <f t="shared" si="49"/>
        <v>58.1</v>
      </c>
      <c r="J825" t="s">
        <v>21</v>
      </c>
      <c r="K825" t="s">
        <v>22</v>
      </c>
      <c r="L825">
        <v>1410325200</v>
      </c>
      <c r="M825" s="9">
        <f t="shared" si="50"/>
        <v>41892.208333333336</v>
      </c>
      <c r="N825">
        <v>1412485200</v>
      </c>
      <c r="O825" s="9">
        <f t="shared" si="51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_xlfn.TEXTSPLIT(R825,"/")</f>
        <v>music</v>
      </c>
      <c r="T825" t="str">
        <v>rock</v>
      </c>
    </row>
    <row r="826" spans="1:20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48"/>
        <v>1.2648999999999999</v>
      </c>
      <c r="G826" t="s">
        <v>20</v>
      </c>
      <c r="H826">
        <v>1280</v>
      </c>
      <c r="I826" s="5">
        <f t="shared" si="49"/>
        <v>84</v>
      </c>
      <c r="J826" t="s">
        <v>21</v>
      </c>
      <c r="K826" t="s">
        <v>22</v>
      </c>
      <c r="L826">
        <v>1276923600</v>
      </c>
      <c r="M826" s="9">
        <f t="shared" si="50"/>
        <v>40348.208333333336</v>
      </c>
      <c r="N826">
        <v>1279688400</v>
      </c>
      <c r="O826" s="9">
        <f t="shared" si="51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_xlfn.TEXTSPLIT(R826,"/")</f>
        <v>publishing</v>
      </c>
      <c r="T826" t="str">
        <v>nonfiction</v>
      </c>
    </row>
    <row r="827" spans="1:20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48"/>
        <v>3.875</v>
      </c>
      <c r="G827" t="s">
        <v>20</v>
      </c>
      <c r="H827">
        <v>157</v>
      </c>
      <c r="I827" s="5">
        <f t="shared" si="49"/>
        <v>88.85</v>
      </c>
      <c r="J827" t="s">
        <v>40</v>
      </c>
      <c r="K827" t="s">
        <v>41</v>
      </c>
      <c r="L827">
        <v>1500958800</v>
      </c>
      <c r="M827" s="9">
        <f t="shared" si="50"/>
        <v>42941.208333333328</v>
      </c>
      <c r="N827">
        <v>1501995600</v>
      </c>
      <c r="O827" s="9">
        <f t="shared" si="51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_xlfn.TEXTSPLIT(R827,"/")</f>
        <v>film &amp; video</v>
      </c>
      <c r="T827" t="str">
        <v>shorts</v>
      </c>
    </row>
    <row r="828" spans="1:20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48"/>
        <v>4.5704000000000002</v>
      </c>
      <c r="G828" t="s">
        <v>20</v>
      </c>
      <c r="H828">
        <v>194</v>
      </c>
      <c r="I828" s="5">
        <f t="shared" si="49"/>
        <v>65.959999999999994</v>
      </c>
      <c r="J828" t="s">
        <v>21</v>
      </c>
      <c r="K828" t="s">
        <v>22</v>
      </c>
      <c r="L828">
        <v>1292220000</v>
      </c>
      <c r="M828" s="9">
        <f t="shared" si="50"/>
        <v>40525.25</v>
      </c>
      <c r="N828">
        <v>1294639200</v>
      </c>
      <c r="O828" s="9">
        <f t="shared" si="51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_xlfn.TEXTSPLIT(R828,"/")</f>
        <v>theater</v>
      </c>
      <c r="T828" t="str">
        <v>plays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48"/>
        <v>2.6669999999999998</v>
      </c>
      <c r="G829" t="s">
        <v>20</v>
      </c>
      <c r="H829">
        <v>82</v>
      </c>
      <c r="I829" s="5">
        <f t="shared" si="49"/>
        <v>74.8</v>
      </c>
      <c r="J829" t="s">
        <v>26</v>
      </c>
      <c r="K829" t="s">
        <v>27</v>
      </c>
      <c r="L829">
        <v>1304398800</v>
      </c>
      <c r="M829" s="9">
        <f t="shared" si="50"/>
        <v>40666.208333333336</v>
      </c>
      <c r="N829">
        <v>1305435600</v>
      </c>
      <c r="O829" s="9">
        <f t="shared" si="51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_xlfn.TEXTSPLIT(R829,"/")</f>
        <v>film &amp; video</v>
      </c>
      <c r="T829" t="str">
        <v>drama</v>
      </c>
    </row>
    <row r="830" spans="1:20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48"/>
        <v>0.69</v>
      </c>
      <c r="G830" t="s">
        <v>14</v>
      </c>
      <c r="H830">
        <v>70</v>
      </c>
      <c r="I830" s="5">
        <f t="shared" si="49"/>
        <v>69.989999999999995</v>
      </c>
      <c r="J830" t="s">
        <v>21</v>
      </c>
      <c r="K830" t="s">
        <v>22</v>
      </c>
      <c r="L830">
        <v>1535432400</v>
      </c>
      <c r="M830" s="9">
        <f t="shared" si="50"/>
        <v>43340.208333333328</v>
      </c>
      <c r="N830">
        <v>1537592400</v>
      </c>
      <c r="O830" s="9">
        <f t="shared" si="51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_xlfn.TEXTSPLIT(R830,"/")</f>
        <v>theater</v>
      </c>
      <c r="T830" t="str">
        <v>plays</v>
      </c>
    </row>
    <row r="831" spans="1:20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48"/>
        <v>0.51339999999999997</v>
      </c>
      <c r="G831" t="s">
        <v>14</v>
      </c>
      <c r="H831">
        <v>154</v>
      </c>
      <c r="I831" s="5">
        <f t="shared" si="49"/>
        <v>32.01</v>
      </c>
      <c r="J831" t="s">
        <v>21</v>
      </c>
      <c r="K831" t="s">
        <v>22</v>
      </c>
      <c r="L831">
        <v>1433826000</v>
      </c>
      <c r="M831" s="9">
        <f t="shared" si="50"/>
        <v>42164.208333333328</v>
      </c>
      <c r="N831">
        <v>1435122000</v>
      </c>
      <c r="O831" s="9">
        <f t="shared" si="51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_xlfn.TEXTSPLIT(R831,"/")</f>
        <v>theater</v>
      </c>
      <c r="T831" t="str">
        <v>plays</v>
      </c>
    </row>
    <row r="832" spans="1:20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48"/>
        <v>1.17E-2</v>
      </c>
      <c r="G832" t="s">
        <v>14</v>
      </c>
      <c r="H832">
        <v>22</v>
      </c>
      <c r="I832" s="5">
        <f t="shared" si="49"/>
        <v>64.73</v>
      </c>
      <c r="J832" t="s">
        <v>21</v>
      </c>
      <c r="K832" t="s">
        <v>22</v>
      </c>
      <c r="L832">
        <v>1514959200</v>
      </c>
      <c r="M832" s="9">
        <f t="shared" si="50"/>
        <v>43103.25</v>
      </c>
      <c r="N832">
        <v>1520056800</v>
      </c>
      <c r="O832" s="9">
        <f t="shared" si="51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_xlfn.TEXTSPLIT(R832,"/")</f>
        <v>theater</v>
      </c>
      <c r="T832" t="str">
        <v>plays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48"/>
        <v>1.0898000000000001</v>
      </c>
      <c r="G833" t="s">
        <v>20</v>
      </c>
      <c r="H833">
        <v>4233</v>
      </c>
      <c r="I833" s="5">
        <f t="shared" si="49"/>
        <v>25</v>
      </c>
      <c r="J833" t="s">
        <v>21</v>
      </c>
      <c r="K833" t="s">
        <v>22</v>
      </c>
      <c r="L833">
        <v>1332738000</v>
      </c>
      <c r="M833" s="9">
        <f t="shared" si="50"/>
        <v>40994.208333333336</v>
      </c>
      <c r="N833">
        <v>1335675600</v>
      </c>
      <c r="O833" s="9">
        <f t="shared" si="51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_xlfn.TEXTSPLIT(R833,"/")</f>
        <v>photography</v>
      </c>
      <c r="T833" t="str">
        <v>photography books</v>
      </c>
    </row>
    <row r="834" spans="1:20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48"/>
        <v>3.1518000000000002</v>
      </c>
      <c r="G834" t="s">
        <v>20</v>
      </c>
      <c r="H834">
        <v>1297</v>
      </c>
      <c r="I834" s="5">
        <f t="shared" si="49"/>
        <v>104.98</v>
      </c>
      <c r="J834" t="s">
        <v>36</v>
      </c>
      <c r="K834" t="s">
        <v>37</v>
      </c>
      <c r="L834">
        <v>1445490000</v>
      </c>
      <c r="M834" s="9">
        <f t="shared" si="50"/>
        <v>42299.208333333328</v>
      </c>
      <c r="N834">
        <v>1448431200</v>
      </c>
      <c r="O834" s="9">
        <f t="shared" si="51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_xlfn.TEXTSPLIT(R834,"/")</f>
        <v>publishing</v>
      </c>
      <c r="T834" t="str">
        <v>translations</v>
      </c>
    </row>
    <row r="835" spans="1:20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ref="F835:F898" si="52">ROUND(E835/D835,4)</f>
        <v>1.5769</v>
      </c>
      <c r="G835" t="s">
        <v>20</v>
      </c>
      <c r="H835">
        <v>165</v>
      </c>
      <c r="I835" s="5">
        <f t="shared" ref="I835:I898" si="53">IF(H835=0,"0",(ROUND(E835/H835,2)))</f>
        <v>64.989999999999995</v>
      </c>
      <c r="J835" t="s">
        <v>36</v>
      </c>
      <c r="K835" t="s">
        <v>37</v>
      </c>
      <c r="L835">
        <v>1297663200</v>
      </c>
      <c r="M835" s="9">
        <f t="shared" ref="M835:M898" si="54">(((L835/60)/60)/24)+DATE(1970,1,1)</f>
        <v>40588.25</v>
      </c>
      <c r="N835">
        <v>1298613600</v>
      </c>
      <c r="O835" s="9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_xlfn.TEXTSPLIT(R835,"/")</f>
        <v>publishing</v>
      </c>
      <c r="T835" t="str">
        <v>translations</v>
      </c>
    </row>
    <row r="836" spans="1:20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si="52"/>
        <v>1.5381</v>
      </c>
      <c r="G836" t="s">
        <v>20</v>
      </c>
      <c r="H836">
        <v>119</v>
      </c>
      <c r="I836" s="5">
        <f t="shared" si="53"/>
        <v>94.35</v>
      </c>
      <c r="J836" t="s">
        <v>21</v>
      </c>
      <c r="K836" t="s">
        <v>22</v>
      </c>
      <c r="L836">
        <v>1371963600</v>
      </c>
      <c r="M836" s="9">
        <f t="shared" si="54"/>
        <v>41448.208333333336</v>
      </c>
      <c r="N836">
        <v>1372482000</v>
      </c>
      <c r="O836" s="9">
        <f t="shared" si="55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_xlfn.TEXTSPLIT(R836,"/")</f>
        <v>theater</v>
      </c>
      <c r="T836" t="str">
        <v>plays</v>
      </c>
    </row>
    <row r="837" spans="1:20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52"/>
        <v>0.89739999999999998</v>
      </c>
      <c r="G837" t="s">
        <v>14</v>
      </c>
      <c r="H837">
        <v>1758</v>
      </c>
      <c r="I837" s="5">
        <f t="shared" si="53"/>
        <v>44</v>
      </c>
      <c r="J837" t="s">
        <v>21</v>
      </c>
      <c r="K837" t="s">
        <v>22</v>
      </c>
      <c r="L837">
        <v>1425103200</v>
      </c>
      <c r="M837" s="9">
        <f t="shared" si="54"/>
        <v>42063.25</v>
      </c>
      <c r="N837">
        <v>1425621600</v>
      </c>
      <c r="O837" s="9">
        <f t="shared" si="55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_xlfn.TEXTSPLIT(R837,"/")</f>
        <v>technology</v>
      </c>
      <c r="T837" t="str">
        <v>web</v>
      </c>
    </row>
    <row r="838" spans="1:20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52"/>
        <v>0.75139999999999996</v>
      </c>
      <c r="G838" t="s">
        <v>14</v>
      </c>
      <c r="H838">
        <v>94</v>
      </c>
      <c r="I838" s="5">
        <f t="shared" si="53"/>
        <v>64.739999999999995</v>
      </c>
      <c r="J838" t="s">
        <v>21</v>
      </c>
      <c r="K838" t="s">
        <v>22</v>
      </c>
      <c r="L838">
        <v>1265349600</v>
      </c>
      <c r="M838" s="9">
        <f t="shared" si="54"/>
        <v>40214.25</v>
      </c>
      <c r="N838">
        <v>1266300000</v>
      </c>
      <c r="O838" s="9">
        <f t="shared" si="55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_xlfn.TEXTSPLIT(R838,"/")</f>
        <v>music</v>
      </c>
      <c r="T838" t="str">
        <v>indie rock</v>
      </c>
    </row>
    <row r="839" spans="1:20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52"/>
        <v>8.5288000000000004</v>
      </c>
      <c r="G839" t="s">
        <v>20</v>
      </c>
      <c r="H839">
        <v>1797</v>
      </c>
      <c r="I839" s="5">
        <f t="shared" si="53"/>
        <v>84.01</v>
      </c>
      <c r="J839" t="s">
        <v>21</v>
      </c>
      <c r="K839" t="s">
        <v>22</v>
      </c>
      <c r="L839">
        <v>1301202000</v>
      </c>
      <c r="M839" s="9">
        <f t="shared" si="54"/>
        <v>40629.208333333336</v>
      </c>
      <c r="N839">
        <v>1305867600</v>
      </c>
      <c r="O839" s="9">
        <f t="shared" si="55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_xlfn.TEXTSPLIT(R839,"/")</f>
        <v>music</v>
      </c>
      <c r="T839" t="str">
        <v>jazz</v>
      </c>
    </row>
    <row r="840" spans="1:20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52"/>
        <v>1.3891</v>
      </c>
      <c r="G840" t="s">
        <v>20</v>
      </c>
      <c r="H840">
        <v>261</v>
      </c>
      <c r="I840" s="5">
        <f t="shared" si="53"/>
        <v>34.06</v>
      </c>
      <c r="J840" t="s">
        <v>21</v>
      </c>
      <c r="K840" t="s">
        <v>22</v>
      </c>
      <c r="L840">
        <v>1538024400</v>
      </c>
      <c r="M840" s="9">
        <f t="shared" si="54"/>
        <v>43370.208333333328</v>
      </c>
      <c r="N840">
        <v>1538802000</v>
      </c>
      <c r="O840" s="9">
        <f t="shared" si="55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_xlfn.TEXTSPLIT(R840,"/")</f>
        <v>theater</v>
      </c>
      <c r="T840" t="str">
        <v>plays</v>
      </c>
    </row>
    <row r="841" spans="1:20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52"/>
        <v>1.9017999999999999</v>
      </c>
      <c r="G841" t="s">
        <v>20</v>
      </c>
      <c r="H841">
        <v>157</v>
      </c>
      <c r="I841" s="5">
        <f t="shared" si="53"/>
        <v>93.27</v>
      </c>
      <c r="J841" t="s">
        <v>21</v>
      </c>
      <c r="K841" t="s">
        <v>22</v>
      </c>
      <c r="L841">
        <v>1395032400</v>
      </c>
      <c r="M841" s="9">
        <f t="shared" si="54"/>
        <v>41715.208333333336</v>
      </c>
      <c r="N841">
        <v>1398920400</v>
      </c>
      <c r="O841" s="9">
        <f t="shared" si="55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_xlfn.TEXTSPLIT(R841,"/")</f>
        <v>film &amp; video</v>
      </c>
      <c r="T841" t="str">
        <v>documentary</v>
      </c>
    </row>
    <row r="842" spans="1:20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52"/>
        <v>1.0024</v>
      </c>
      <c r="G842" t="s">
        <v>20</v>
      </c>
      <c r="H842">
        <v>3533</v>
      </c>
      <c r="I842" s="5">
        <f t="shared" si="53"/>
        <v>33</v>
      </c>
      <c r="J842" t="s">
        <v>21</v>
      </c>
      <c r="K842" t="s">
        <v>22</v>
      </c>
      <c r="L842">
        <v>1405486800</v>
      </c>
      <c r="M842" s="9">
        <f t="shared" si="54"/>
        <v>41836.208333333336</v>
      </c>
      <c r="N842">
        <v>1405659600</v>
      </c>
      <c r="O842" s="9">
        <f t="shared" si="55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_xlfn.TEXTSPLIT(R842,"/")</f>
        <v>theater</v>
      </c>
      <c r="T842" t="str">
        <v>plays</v>
      </c>
    </row>
    <row r="843" spans="1:20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52"/>
        <v>1.4276</v>
      </c>
      <c r="G843" t="s">
        <v>20</v>
      </c>
      <c r="H843">
        <v>155</v>
      </c>
      <c r="I843" s="5">
        <f t="shared" si="53"/>
        <v>83.81</v>
      </c>
      <c r="J843" t="s">
        <v>21</v>
      </c>
      <c r="K843" t="s">
        <v>22</v>
      </c>
      <c r="L843">
        <v>1455861600</v>
      </c>
      <c r="M843" s="9">
        <f t="shared" si="54"/>
        <v>42419.25</v>
      </c>
      <c r="N843">
        <v>1457244000</v>
      </c>
      <c r="O843" s="9">
        <f t="shared" si="55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_xlfn.TEXTSPLIT(R843,"/")</f>
        <v>technology</v>
      </c>
      <c r="T843" t="str">
        <v>web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52"/>
        <v>5.6313000000000004</v>
      </c>
      <c r="G844" t="s">
        <v>20</v>
      </c>
      <c r="H844">
        <v>132</v>
      </c>
      <c r="I844" s="5">
        <f t="shared" si="53"/>
        <v>63.99</v>
      </c>
      <c r="J844" t="s">
        <v>107</v>
      </c>
      <c r="K844" t="s">
        <v>108</v>
      </c>
      <c r="L844">
        <v>1529038800</v>
      </c>
      <c r="M844" s="9">
        <f t="shared" si="54"/>
        <v>43266.208333333328</v>
      </c>
      <c r="N844">
        <v>1529298000</v>
      </c>
      <c r="O844" s="9">
        <f t="shared" si="55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_xlfn.TEXTSPLIT(R844,"/")</f>
        <v>technology</v>
      </c>
      <c r="T844" t="str">
        <v>wearables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52"/>
        <v>0.30719999999999997</v>
      </c>
      <c r="G845" t="s">
        <v>14</v>
      </c>
      <c r="H845">
        <v>33</v>
      </c>
      <c r="I845" s="5">
        <f t="shared" si="53"/>
        <v>81.91</v>
      </c>
      <c r="J845" t="s">
        <v>21</v>
      </c>
      <c r="K845" t="s">
        <v>22</v>
      </c>
      <c r="L845">
        <v>1535259600</v>
      </c>
      <c r="M845" s="9">
        <f t="shared" si="54"/>
        <v>43338.208333333328</v>
      </c>
      <c r="N845">
        <v>1535778000</v>
      </c>
      <c r="O845" s="9">
        <f t="shared" si="55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_xlfn.TEXTSPLIT(R845,"/")</f>
        <v>photography</v>
      </c>
      <c r="T845" t="str">
        <v>photography books</v>
      </c>
    </row>
    <row r="846" spans="1:20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52"/>
        <v>0.99399999999999999</v>
      </c>
      <c r="G846" t="s">
        <v>74</v>
      </c>
      <c r="H846">
        <v>94</v>
      </c>
      <c r="I846" s="5">
        <f t="shared" si="53"/>
        <v>93.05</v>
      </c>
      <c r="J846" t="s">
        <v>21</v>
      </c>
      <c r="K846" t="s">
        <v>22</v>
      </c>
      <c r="L846">
        <v>1327212000</v>
      </c>
      <c r="M846" s="9">
        <f t="shared" si="54"/>
        <v>40930.25</v>
      </c>
      <c r="N846">
        <v>1327471200</v>
      </c>
      <c r="O846" s="9">
        <f t="shared" si="55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_xlfn.TEXTSPLIT(R846,"/")</f>
        <v>film &amp; video</v>
      </c>
      <c r="T846" t="str">
        <v>documentary</v>
      </c>
    </row>
    <row r="847" spans="1:20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52"/>
        <v>1.9755</v>
      </c>
      <c r="G847" t="s">
        <v>20</v>
      </c>
      <c r="H847">
        <v>1354</v>
      </c>
      <c r="I847" s="5">
        <f t="shared" si="53"/>
        <v>101.98</v>
      </c>
      <c r="J847" t="s">
        <v>40</v>
      </c>
      <c r="K847" t="s">
        <v>41</v>
      </c>
      <c r="L847">
        <v>1526360400</v>
      </c>
      <c r="M847" s="9">
        <f t="shared" si="54"/>
        <v>43235.208333333328</v>
      </c>
      <c r="N847">
        <v>1529557200</v>
      </c>
      <c r="O847" s="9">
        <f t="shared" si="55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_xlfn.TEXTSPLIT(R847,"/")</f>
        <v>technology</v>
      </c>
      <c r="T847" t="str">
        <v>web</v>
      </c>
    </row>
    <row r="848" spans="1:20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52"/>
        <v>5.085</v>
      </c>
      <c r="G848" t="s">
        <v>20</v>
      </c>
      <c r="H848">
        <v>48</v>
      </c>
      <c r="I848" s="5">
        <f t="shared" si="53"/>
        <v>105.94</v>
      </c>
      <c r="J848" t="s">
        <v>21</v>
      </c>
      <c r="K848" t="s">
        <v>22</v>
      </c>
      <c r="L848">
        <v>1532149200</v>
      </c>
      <c r="M848" s="9">
        <f t="shared" si="54"/>
        <v>43302.208333333328</v>
      </c>
      <c r="N848">
        <v>1535259600</v>
      </c>
      <c r="O848" s="9">
        <f t="shared" si="55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_xlfn.TEXTSPLIT(R848,"/")</f>
        <v>technology</v>
      </c>
      <c r="T848" t="str">
        <v>web</v>
      </c>
    </row>
    <row r="849" spans="1:20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52"/>
        <v>2.3774000000000002</v>
      </c>
      <c r="G849" t="s">
        <v>20</v>
      </c>
      <c r="H849">
        <v>110</v>
      </c>
      <c r="I849" s="5">
        <f t="shared" si="53"/>
        <v>101.58</v>
      </c>
      <c r="J849" t="s">
        <v>21</v>
      </c>
      <c r="K849" t="s">
        <v>22</v>
      </c>
      <c r="L849">
        <v>1515304800</v>
      </c>
      <c r="M849" s="9">
        <f t="shared" si="54"/>
        <v>43107.25</v>
      </c>
      <c r="N849">
        <v>1515564000</v>
      </c>
      <c r="O849" s="9">
        <f t="shared" si="55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_xlfn.TEXTSPLIT(R849,"/")</f>
        <v>food</v>
      </c>
      <c r="T849" t="str">
        <v>food trucks</v>
      </c>
    </row>
    <row r="850" spans="1:20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52"/>
        <v>3.3847</v>
      </c>
      <c r="G850" t="s">
        <v>20</v>
      </c>
      <c r="H850">
        <v>172</v>
      </c>
      <c r="I850" s="5">
        <f t="shared" si="53"/>
        <v>62.97</v>
      </c>
      <c r="J850" t="s">
        <v>21</v>
      </c>
      <c r="K850" t="s">
        <v>22</v>
      </c>
      <c r="L850">
        <v>1276318800</v>
      </c>
      <c r="M850" s="9">
        <f t="shared" si="54"/>
        <v>40341.208333333336</v>
      </c>
      <c r="N850">
        <v>1277096400</v>
      </c>
      <c r="O850" s="9">
        <f t="shared" si="55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_xlfn.TEXTSPLIT(R850,"/")</f>
        <v>film &amp; video</v>
      </c>
      <c r="T850" t="str">
        <v>drama</v>
      </c>
    </row>
    <row r="851" spans="1:20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52"/>
        <v>1.3309</v>
      </c>
      <c r="G851" t="s">
        <v>20</v>
      </c>
      <c r="H851">
        <v>307</v>
      </c>
      <c r="I851" s="5">
        <f t="shared" si="53"/>
        <v>29.05</v>
      </c>
      <c r="J851" t="s">
        <v>21</v>
      </c>
      <c r="K851" t="s">
        <v>22</v>
      </c>
      <c r="L851">
        <v>1328767200</v>
      </c>
      <c r="M851" s="9">
        <f t="shared" si="54"/>
        <v>40948.25</v>
      </c>
      <c r="N851">
        <v>1329026400</v>
      </c>
      <c r="O851" s="9">
        <f t="shared" si="55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_xlfn.TEXTSPLIT(R851,"/")</f>
        <v>music</v>
      </c>
      <c r="T851" t="str">
        <v>indie rock</v>
      </c>
    </row>
    <row r="852" spans="1:20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52"/>
        <v>0.01</v>
      </c>
      <c r="G852" t="s">
        <v>14</v>
      </c>
      <c r="H852">
        <v>1</v>
      </c>
      <c r="I852" s="5">
        <f t="shared" si="53"/>
        <v>1</v>
      </c>
      <c r="J852" t="s">
        <v>21</v>
      </c>
      <c r="K852" t="s">
        <v>22</v>
      </c>
      <c r="L852">
        <v>1321682400</v>
      </c>
      <c r="M852" s="9">
        <f t="shared" si="54"/>
        <v>40866.25</v>
      </c>
      <c r="N852">
        <v>1322978400</v>
      </c>
      <c r="O852" s="9">
        <f t="shared" si="55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_xlfn.TEXTSPLIT(R852,"/")</f>
        <v>music</v>
      </c>
      <c r="T852" t="str">
        <v>rock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52"/>
        <v>2.0779999999999998</v>
      </c>
      <c r="G853" t="s">
        <v>20</v>
      </c>
      <c r="H853">
        <v>160</v>
      </c>
      <c r="I853" s="5">
        <f t="shared" si="53"/>
        <v>77.930000000000007</v>
      </c>
      <c r="J853" t="s">
        <v>21</v>
      </c>
      <c r="K853" t="s">
        <v>22</v>
      </c>
      <c r="L853">
        <v>1335934800</v>
      </c>
      <c r="M853" s="9">
        <f t="shared" si="54"/>
        <v>41031.208333333336</v>
      </c>
      <c r="N853">
        <v>1338786000</v>
      </c>
      <c r="O853" s="9">
        <f t="shared" si="55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_xlfn.TEXTSPLIT(R853,"/")</f>
        <v>music</v>
      </c>
      <c r="T853" t="str">
        <v>electric music</v>
      </c>
    </row>
    <row r="854" spans="1:20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52"/>
        <v>0.51119999999999999</v>
      </c>
      <c r="G854" t="s">
        <v>14</v>
      </c>
      <c r="H854">
        <v>31</v>
      </c>
      <c r="I854" s="5">
        <f t="shared" si="53"/>
        <v>80.81</v>
      </c>
      <c r="J854" t="s">
        <v>21</v>
      </c>
      <c r="K854" t="s">
        <v>22</v>
      </c>
      <c r="L854">
        <v>1310792400</v>
      </c>
      <c r="M854" s="9">
        <f t="shared" si="54"/>
        <v>40740.208333333336</v>
      </c>
      <c r="N854">
        <v>1311656400</v>
      </c>
      <c r="O854" s="9">
        <f t="shared" si="55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_xlfn.TEXTSPLIT(R854,"/")</f>
        <v>games</v>
      </c>
      <c r="T854" t="str">
        <v>video games</v>
      </c>
    </row>
    <row r="855" spans="1:20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52"/>
        <v>6.5206</v>
      </c>
      <c r="G855" t="s">
        <v>20</v>
      </c>
      <c r="H855">
        <v>1467</v>
      </c>
      <c r="I855" s="5">
        <f t="shared" si="53"/>
        <v>76.010000000000005</v>
      </c>
      <c r="J855" t="s">
        <v>15</v>
      </c>
      <c r="K855" t="s">
        <v>16</v>
      </c>
      <c r="L855">
        <v>1308546000</v>
      </c>
      <c r="M855" s="9">
        <f t="shared" si="54"/>
        <v>40714.208333333336</v>
      </c>
      <c r="N855">
        <v>1308978000</v>
      </c>
      <c r="O855" s="9">
        <f t="shared" si="55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_xlfn.TEXTSPLIT(R855,"/")</f>
        <v>music</v>
      </c>
      <c r="T855" t="str">
        <v>indie rock</v>
      </c>
    </row>
    <row r="856" spans="1:20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52"/>
        <v>1.1363000000000001</v>
      </c>
      <c r="G856" t="s">
        <v>20</v>
      </c>
      <c r="H856">
        <v>2662</v>
      </c>
      <c r="I856" s="5">
        <f t="shared" si="53"/>
        <v>72.989999999999995</v>
      </c>
      <c r="J856" t="s">
        <v>15</v>
      </c>
      <c r="K856" t="s">
        <v>16</v>
      </c>
      <c r="L856">
        <v>1574056800</v>
      </c>
      <c r="M856" s="9">
        <f t="shared" si="54"/>
        <v>43787.25</v>
      </c>
      <c r="N856">
        <v>1576389600</v>
      </c>
      <c r="O856" s="9">
        <f t="shared" si="55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_xlfn.TEXTSPLIT(R856,"/")</f>
        <v>publishing</v>
      </c>
      <c r="T856" t="str">
        <v>fiction</v>
      </c>
    </row>
    <row r="857" spans="1:20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52"/>
        <v>1.0238</v>
      </c>
      <c r="G857" t="s">
        <v>20</v>
      </c>
      <c r="H857">
        <v>452</v>
      </c>
      <c r="I857" s="5">
        <f t="shared" si="53"/>
        <v>53</v>
      </c>
      <c r="J857" t="s">
        <v>26</v>
      </c>
      <c r="K857" t="s">
        <v>27</v>
      </c>
      <c r="L857">
        <v>1308373200</v>
      </c>
      <c r="M857" s="9">
        <f t="shared" si="54"/>
        <v>40712.208333333336</v>
      </c>
      <c r="N857">
        <v>1311051600</v>
      </c>
      <c r="O857" s="9">
        <f t="shared" si="55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_xlfn.TEXTSPLIT(R857,"/")</f>
        <v>theater</v>
      </c>
      <c r="T857" t="str">
        <v>plays</v>
      </c>
    </row>
    <row r="858" spans="1:20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52"/>
        <v>3.5657999999999999</v>
      </c>
      <c r="G858" t="s">
        <v>20</v>
      </c>
      <c r="H858">
        <v>158</v>
      </c>
      <c r="I858" s="5">
        <f t="shared" si="53"/>
        <v>54.16</v>
      </c>
      <c r="J858" t="s">
        <v>21</v>
      </c>
      <c r="K858" t="s">
        <v>22</v>
      </c>
      <c r="L858">
        <v>1335243600</v>
      </c>
      <c r="M858" s="9">
        <f t="shared" si="54"/>
        <v>41023.208333333336</v>
      </c>
      <c r="N858">
        <v>1336712400</v>
      </c>
      <c r="O858" s="9">
        <f t="shared" si="55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_xlfn.TEXTSPLIT(R858,"/")</f>
        <v>food</v>
      </c>
      <c r="T858" t="str">
        <v>food trucks</v>
      </c>
    </row>
    <row r="859" spans="1:20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52"/>
        <v>1.3987000000000001</v>
      </c>
      <c r="G859" t="s">
        <v>20</v>
      </c>
      <c r="H859">
        <v>225</v>
      </c>
      <c r="I859" s="5">
        <f t="shared" si="53"/>
        <v>32.950000000000003</v>
      </c>
      <c r="J859" t="s">
        <v>98</v>
      </c>
      <c r="K859" t="s">
        <v>99</v>
      </c>
      <c r="L859">
        <v>1328421600</v>
      </c>
      <c r="M859" s="9">
        <f t="shared" si="54"/>
        <v>40944.25</v>
      </c>
      <c r="N859">
        <v>1330408800</v>
      </c>
      <c r="O859" s="9">
        <f t="shared" si="55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_xlfn.TEXTSPLIT(R859,"/")</f>
        <v>film &amp; video</v>
      </c>
      <c r="T859" t="str">
        <v>shorts</v>
      </c>
    </row>
    <row r="860" spans="1:20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52"/>
        <v>0.69450000000000001</v>
      </c>
      <c r="G860" t="s">
        <v>14</v>
      </c>
      <c r="H860">
        <v>35</v>
      </c>
      <c r="I860" s="5">
        <f t="shared" si="53"/>
        <v>79.37</v>
      </c>
      <c r="J860" t="s">
        <v>21</v>
      </c>
      <c r="K860" t="s">
        <v>22</v>
      </c>
      <c r="L860">
        <v>1524286800</v>
      </c>
      <c r="M860" s="9">
        <f t="shared" si="54"/>
        <v>43211.208333333328</v>
      </c>
      <c r="N860">
        <v>1524891600</v>
      </c>
      <c r="O860" s="9">
        <f t="shared" si="55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_xlfn.TEXTSPLIT(R860,"/")</f>
        <v>food</v>
      </c>
      <c r="T860" t="str">
        <v>food trucks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52"/>
        <v>0.3553</v>
      </c>
      <c r="G861" t="s">
        <v>14</v>
      </c>
      <c r="H861">
        <v>63</v>
      </c>
      <c r="I861" s="5">
        <f t="shared" si="53"/>
        <v>41.17</v>
      </c>
      <c r="J861" t="s">
        <v>21</v>
      </c>
      <c r="K861" t="s">
        <v>22</v>
      </c>
      <c r="L861">
        <v>1362117600</v>
      </c>
      <c r="M861" s="9">
        <f t="shared" si="54"/>
        <v>41334.25</v>
      </c>
      <c r="N861">
        <v>1363669200</v>
      </c>
      <c r="O861" s="9">
        <f t="shared" si="55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_xlfn.TEXTSPLIT(R861,"/")</f>
        <v>theater</v>
      </c>
      <c r="T861" t="str">
        <v>plays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52"/>
        <v>2.5165000000000002</v>
      </c>
      <c r="G862" t="s">
        <v>20</v>
      </c>
      <c r="H862">
        <v>65</v>
      </c>
      <c r="I862" s="5">
        <f t="shared" si="53"/>
        <v>77.430000000000007</v>
      </c>
      <c r="J862" t="s">
        <v>21</v>
      </c>
      <c r="K862" t="s">
        <v>22</v>
      </c>
      <c r="L862">
        <v>1550556000</v>
      </c>
      <c r="M862" s="9">
        <f t="shared" si="54"/>
        <v>43515.25</v>
      </c>
      <c r="N862">
        <v>1551420000</v>
      </c>
      <c r="O862" s="9">
        <f t="shared" si="55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_xlfn.TEXTSPLIT(R862,"/")</f>
        <v>technology</v>
      </c>
      <c r="T862" t="str">
        <v>wearables</v>
      </c>
    </row>
    <row r="863" spans="1:20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52"/>
        <v>1.0588</v>
      </c>
      <c r="G863" t="s">
        <v>20</v>
      </c>
      <c r="H863">
        <v>163</v>
      </c>
      <c r="I863" s="5">
        <f t="shared" si="53"/>
        <v>57.16</v>
      </c>
      <c r="J863" t="s">
        <v>21</v>
      </c>
      <c r="K863" t="s">
        <v>22</v>
      </c>
      <c r="L863">
        <v>1269147600</v>
      </c>
      <c r="M863" s="9">
        <f t="shared" si="54"/>
        <v>40258.208333333336</v>
      </c>
      <c r="N863">
        <v>1269838800</v>
      </c>
      <c r="O863" s="9">
        <f t="shared" si="55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_xlfn.TEXTSPLIT(R863,"/")</f>
        <v>theater</v>
      </c>
      <c r="T863" t="str">
        <v>plays</v>
      </c>
    </row>
    <row r="864" spans="1:20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52"/>
        <v>1.8743000000000001</v>
      </c>
      <c r="G864" t="s">
        <v>20</v>
      </c>
      <c r="H864">
        <v>85</v>
      </c>
      <c r="I864" s="5">
        <f t="shared" si="53"/>
        <v>77.180000000000007</v>
      </c>
      <c r="J864" t="s">
        <v>21</v>
      </c>
      <c r="K864" t="s">
        <v>22</v>
      </c>
      <c r="L864">
        <v>1312174800</v>
      </c>
      <c r="M864" s="9">
        <f t="shared" si="54"/>
        <v>40756.208333333336</v>
      </c>
      <c r="N864">
        <v>1312520400</v>
      </c>
      <c r="O864" s="9">
        <f t="shared" si="55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_xlfn.TEXTSPLIT(R864,"/")</f>
        <v>theater</v>
      </c>
      <c r="T864" t="str">
        <v>plays</v>
      </c>
    </row>
    <row r="865" spans="1:20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52"/>
        <v>3.8679000000000001</v>
      </c>
      <c r="G865" t="s">
        <v>20</v>
      </c>
      <c r="H865">
        <v>217</v>
      </c>
      <c r="I865" s="5">
        <f t="shared" si="53"/>
        <v>24.95</v>
      </c>
      <c r="J865" t="s">
        <v>21</v>
      </c>
      <c r="K865" t="s">
        <v>22</v>
      </c>
      <c r="L865">
        <v>1434517200</v>
      </c>
      <c r="M865" s="9">
        <f t="shared" si="54"/>
        <v>42172.208333333328</v>
      </c>
      <c r="N865">
        <v>1436504400</v>
      </c>
      <c r="O865" s="9">
        <f t="shared" si="55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_xlfn.TEXTSPLIT(R865,"/")</f>
        <v>film &amp; video</v>
      </c>
      <c r="T865" t="str">
        <v>television</v>
      </c>
    </row>
    <row r="866" spans="1:20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52"/>
        <v>3.4706999999999999</v>
      </c>
      <c r="G866" t="s">
        <v>20</v>
      </c>
      <c r="H866">
        <v>150</v>
      </c>
      <c r="I866" s="5">
        <f t="shared" si="53"/>
        <v>97.18</v>
      </c>
      <c r="J866" t="s">
        <v>21</v>
      </c>
      <c r="K866" t="s">
        <v>22</v>
      </c>
      <c r="L866">
        <v>1471582800</v>
      </c>
      <c r="M866" s="9">
        <f t="shared" si="54"/>
        <v>42601.208333333328</v>
      </c>
      <c r="N866">
        <v>1472014800</v>
      </c>
      <c r="O866" s="9">
        <f t="shared" si="55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_xlfn.TEXTSPLIT(R866,"/")</f>
        <v>film &amp; video</v>
      </c>
      <c r="T866" t="str">
        <v>shorts</v>
      </c>
    </row>
    <row r="867" spans="1:20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52"/>
        <v>1.8582000000000001</v>
      </c>
      <c r="G867" t="s">
        <v>20</v>
      </c>
      <c r="H867">
        <v>3272</v>
      </c>
      <c r="I867" s="5">
        <f t="shared" si="53"/>
        <v>46</v>
      </c>
      <c r="J867" t="s">
        <v>21</v>
      </c>
      <c r="K867" t="s">
        <v>22</v>
      </c>
      <c r="L867">
        <v>1410757200</v>
      </c>
      <c r="M867" s="9">
        <f t="shared" si="54"/>
        <v>41897.208333333336</v>
      </c>
      <c r="N867">
        <v>1411534800</v>
      </c>
      <c r="O867" s="9">
        <f t="shared" si="55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_xlfn.TEXTSPLIT(R867,"/")</f>
        <v>theater</v>
      </c>
      <c r="T867" t="str">
        <v>plays</v>
      </c>
    </row>
    <row r="868" spans="1:20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52"/>
        <v>0.43240000000000001</v>
      </c>
      <c r="G868" t="s">
        <v>74</v>
      </c>
      <c r="H868">
        <v>898</v>
      </c>
      <c r="I868" s="5">
        <f t="shared" si="53"/>
        <v>88.02</v>
      </c>
      <c r="J868" t="s">
        <v>21</v>
      </c>
      <c r="K868" t="s">
        <v>22</v>
      </c>
      <c r="L868">
        <v>1304830800</v>
      </c>
      <c r="M868" s="9">
        <f t="shared" si="54"/>
        <v>40671.208333333336</v>
      </c>
      <c r="N868">
        <v>1304917200</v>
      </c>
      <c r="O868" s="9">
        <f t="shared" si="55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_xlfn.TEXTSPLIT(R868,"/")</f>
        <v>photography</v>
      </c>
      <c r="T868" t="str">
        <v>photography books</v>
      </c>
    </row>
    <row r="869" spans="1:20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52"/>
        <v>1.6244000000000001</v>
      </c>
      <c r="G869" t="s">
        <v>20</v>
      </c>
      <c r="H869">
        <v>300</v>
      </c>
      <c r="I869" s="5">
        <f t="shared" si="53"/>
        <v>25.99</v>
      </c>
      <c r="J869" t="s">
        <v>21</v>
      </c>
      <c r="K869" t="s">
        <v>22</v>
      </c>
      <c r="L869">
        <v>1539061200</v>
      </c>
      <c r="M869" s="9">
        <f t="shared" si="54"/>
        <v>43382.208333333328</v>
      </c>
      <c r="N869">
        <v>1539579600</v>
      </c>
      <c r="O869" s="9">
        <f t="shared" si="55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_xlfn.TEXTSPLIT(R869,"/")</f>
        <v>food</v>
      </c>
      <c r="T869" t="str">
        <v>food trucks</v>
      </c>
    </row>
    <row r="870" spans="1:20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52"/>
        <v>1.8484</v>
      </c>
      <c r="G870" t="s">
        <v>20</v>
      </c>
      <c r="H870">
        <v>126</v>
      </c>
      <c r="I870" s="5">
        <f t="shared" si="53"/>
        <v>102.69</v>
      </c>
      <c r="J870" t="s">
        <v>21</v>
      </c>
      <c r="K870" t="s">
        <v>22</v>
      </c>
      <c r="L870">
        <v>1381554000</v>
      </c>
      <c r="M870" s="9">
        <f t="shared" si="54"/>
        <v>41559.208333333336</v>
      </c>
      <c r="N870">
        <v>1382504400</v>
      </c>
      <c r="O870" s="9">
        <f t="shared" si="55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_xlfn.TEXTSPLIT(R870,"/")</f>
        <v>theater</v>
      </c>
      <c r="T870" t="str">
        <v>plays</v>
      </c>
    </row>
    <row r="871" spans="1:20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52"/>
        <v>0.23699999999999999</v>
      </c>
      <c r="G871" t="s">
        <v>14</v>
      </c>
      <c r="H871">
        <v>526</v>
      </c>
      <c r="I871" s="5">
        <f t="shared" si="53"/>
        <v>72.959999999999994</v>
      </c>
      <c r="J871" t="s">
        <v>21</v>
      </c>
      <c r="K871" t="s">
        <v>22</v>
      </c>
      <c r="L871">
        <v>1277096400</v>
      </c>
      <c r="M871" s="9">
        <f t="shared" si="54"/>
        <v>40350.208333333336</v>
      </c>
      <c r="N871">
        <v>1278306000</v>
      </c>
      <c r="O871" s="9">
        <f t="shared" si="55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_xlfn.TEXTSPLIT(R871,"/")</f>
        <v>film &amp; video</v>
      </c>
      <c r="T871" t="str">
        <v>drama</v>
      </c>
    </row>
    <row r="872" spans="1:20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52"/>
        <v>0.89870000000000005</v>
      </c>
      <c r="G872" t="s">
        <v>14</v>
      </c>
      <c r="H872">
        <v>121</v>
      </c>
      <c r="I872" s="5">
        <f t="shared" si="53"/>
        <v>57.19</v>
      </c>
      <c r="J872" t="s">
        <v>21</v>
      </c>
      <c r="K872" t="s">
        <v>22</v>
      </c>
      <c r="L872">
        <v>1440392400</v>
      </c>
      <c r="M872" s="9">
        <f t="shared" si="54"/>
        <v>42240.208333333328</v>
      </c>
      <c r="N872">
        <v>1442552400</v>
      </c>
      <c r="O872" s="9">
        <f t="shared" si="55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_xlfn.TEXTSPLIT(R872,"/")</f>
        <v>theater</v>
      </c>
      <c r="T872" t="str">
        <v>plays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52"/>
        <v>2.726</v>
      </c>
      <c r="G873" t="s">
        <v>20</v>
      </c>
      <c r="H873">
        <v>2320</v>
      </c>
      <c r="I873" s="5">
        <f t="shared" si="53"/>
        <v>84.01</v>
      </c>
      <c r="J873" t="s">
        <v>21</v>
      </c>
      <c r="K873" t="s">
        <v>22</v>
      </c>
      <c r="L873">
        <v>1509512400</v>
      </c>
      <c r="M873" s="9">
        <f t="shared" si="54"/>
        <v>43040.208333333328</v>
      </c>
      <c r="N873">
        <v>1511071200</v>
      </c>
      <c r="O873" s="9">
        <f t="shared" si="55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_xlfn.TEXTSPLIT(R873,"/")</f>
        <v>theater</v>
      </c>
      <c r="T873" t="str">
        <v>plays</v>
      </c>
    </row>
    <row r="874" spans="1:20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52"/>
        <v>1.7003999999999999</v>
      </c>
      <c r="G874" t="s">
        <v>20</v>
      </c>
      <c r="H874">
        <v>81</v>
      </c>
      <c r="I874" s="5">
        <f t="shared" si="53"/>
        <v>98.67</v>
      </c>
      <c r="J874" t="s">
        <v>26</v>
      </c>
      <c r="K874" t="s">
        <v>27</v>
      </c>
      <c r="L874">
        <v>1535950800</v>
      </c>
      <c r="M874" s="9">
        <f t="shared" si="54"/>
        <v>43346.208333333328</v>
      </c>
      <c r="N874">
        <v>1536382800</v>
      </c>
      <c r="O874" s="9">
        <f t="shared" si="55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_xlfn.TEXTSPLIT(R874,"/")</f>
        <v>film &amp; video</v>
      </c>
      <c r="T874" t="str">
        <v>science fiction</v>
      </c>
    </row>
    <row r="875" spans="1:20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52"/>
        <v>1.8829</v>
      </c>
      <c r="G875" t="s">
        <v>20</v>
      </c>
      <c r="H875">
        <v>1887</v>
      </c>
      <c r="I875" s="5">
        <f t="shared" si="53"/>
        <v>42.01</v>
      </c>
      <c r="J875" t="s">
        <v>21</v>
      </c>
      <c r="K875" t="s">
        <v>22</v>
      </c>
      <c r="L875">
        <v>1389160800</v>
      </c>
      <c r="M875" s="9">
        <f t="shared" si="54"/>
        <v>41647.25</v>
      </c>
      <c r="N875">
        <v>1389592800</v>
      </c>
      <c r="O875" s="9">
        <f t="shared" si="55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_xlfn.TEXTSPLIT(R875,"/")</f>
        <v>photography</v>
      </c>
      <c r="T875" t="str">
        <v>photography books</v>
      </c>
    </row>
    <row r="876" spans="1:20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52"/>
        <v>3.4693999999999998</v>
      </c>
      <c r="G876" t="s">
        <v>20</v>
      </c>
      <c r="H876">
        <v>4358</v>
      </c>
      <c r="I876" s="5">
        <f t="shared" si="53"/>
        <v>32</v>
      </c>
      <c r="J876" t="s">
        <v>21</v>
      </c>
      <c r="K876" t="s">
        <v>22</v>
      </c>
      <c r="L876">
        <v>1271998800</v>
      </c>
      <c r="M876" s="9">
        <f t="shared" si="54"/>
        <v>40291.208333333336</v>
      </c>
      <c r="N876">
        <v>1275282000</v>
      </c>
      <c r="O876" s="9">
        <f t="shared" si="55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_xlfn.TEXTSPLIT(R876,"/")</f>
        <v>photography</v>
      </c>
      <c r="T876" t="str">
        <v>photography books</v>
      </c>
    </row>
    <row r="877" spans="1:20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52"/>
        <v>0.69179999999999997</v>
      </c>
      <c r="G877" t="s">
        <v>14</v>
      </c>
      <c r="H877">
        <v>67</v>
      </c>
      <c r="I877" s="5">
        <f t="shared" si="53"/>
        <v>81.569999999999993</v>
      </c>
      <c r="J877" t="s">
        <v>21</v>
      </c>
      <c r="K877" t="s">
        <v>22</v>
      </c>
      <c r="L877">
        <v>1294898400</v>
      </c>
      <c r="M877" s="9">
        <f t="shared" si="54"/>
        <v>40556.25</v>
      </c>
      <c r="N877">
        <v>1294984800</v>
      </c>
      <c r="O877" s="9">
        <f t="shared" si="55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_xlfn.TEXTSPLIT(R877,"/")</f>
        <v>music</v>
      </c>
      <c r="T877" t="str">
        <v>rock</v>
      </c>
    </row>
    <row r="878" spans="1:20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52"/>
        <v>0.25430000000000003</v>
      </c>
      <c r="G878" t="s">
        <v>14</v>
      </c>
      <c r="H878">
        <v>57</v>
      </c>
      <c r="I878" s="5">
        <f t="shared" si="53"/>
        <v>37.04</v>
      </c>
      <c r="J878" t="s">
        <v>15</v>
      </c>
      <c r="K878" t="s">
        <v>16</v>
      </c>
      <c r="L878">
        <v>1559970000</v>
      </c>
      <c r="M878" s="9">
        <f t="shared" si="54"/>
        <v>43624.208333333328</v>
      </c>
      <c r="N878">
        <v>1562043600</v>
      </c>
      <c r="O878" s="9">
        <f t="shared" si="55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_xlfn.TEXTSPLIT(R878,"/")</f>
        <v>photography</v>
      </c>
      <c r="T878" t="str">
        <v>photography books</v>
      </c>
    </row>
    <row r="879" spans="1:20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52"/>
        <v>0.77400000000000002</v>
      </c>
      <c r="G879" t="s">
        <v>14</v>
      </c>
      <c r="H879">
        <v>1229</v>
      </c>
      <c r="I879" s="5">
        <f t="shared" si="53"/>
        <v>103.03</v>
      </c>
      <c r="J879" t="s">
        <v>21</v>
      </c>
      <c r="K879" t="s">
        <v>22</v>
      </c>
      <c r="L879">
        <v>1469509200</v>
      </c>
      <c r="M879" s="9">
        <f t="shared" si="54"/>
        <v>42577.208333333328</v>
      </c>
      <c r="N879">
        <v>1469595600</v>
      </c>
      <c r="O879" s="9">
        <f t="shared" si="55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_xlfn.TEXTSPLIT(R879,"/")</f>
        <v>food</v>
      </c>
      <c r="T879" t="str">
        <v>food trucks</v>
      </c>
    </row>
    <row r="880" spans="1:20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52"/>
        <v>0.37480000000000002</v>
      </c>
      <c r="G880" t="s">
        <v>14</v>
      </c>
      <c r="H880">
        <v>12</v>
      </c>
      <c r="I880" s="5">
        <f t="shared" si="53"/>
        <v>84.33</v>
      </c>
      <c r="J880" t="s">
        <v>107</v>
      </c>
      <c r="K880" t="s">
        <v>108</v>
      </c>
      <c r="L880">
        <v>1579068000</v>
      </c>
      <c r="M880" s="9">
        <f t="shared" si="54"/>
        <v>43845.25</v>
      </c>
      <c r="N880">
        <v>1581141600</v>
      </c>
      <c r="O880" s="9">
        <f t="shared" si="55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_xlfn.TEXTSPLIT(R880,"/")</f>
        <v>music</v>
      </c>
      <c r="T880" t="str">
        <v>metal</v>
      </c>
    </row>
    <row r="881" spans="1:20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52"/>
        <v>5.4379999999999997</v>
      </c>
      <c r="G881" t="s">
        <v>20</v>
      </c>
      <c r="H881">
        <v>53</v>
      </c>
      <c r="I881" s="5">
        <f t="shared" si="53"/>
        <v>102.6</v>
      </c>
      <c r="J881" t="s">
        <v>21</v>
      </c>
      <c r="K881" t="s">
        <v>22</v>
      </c>
      <c r="L881">
        <v>1487743200</v>
      </c>
      <c r="M881" s="9">
        <f t="shared" si="54"/>
        <v>42788.25</v>
      </c>
      <c r="N881">
        <v>1488520800</v>
      </c>
      <c r="O881" s="9">
        <f t="shared" si="55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_xlfn.TEXTSPLIT(R881,"/")</f>
        <v>publishing</v>
      </c>
      <c r="T881" t="str">
        <v>nonfiction</v>
      </c>
    </row>
    <row r="882" spans="1:20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52"/>
        <v>2.2852000000000001</v>
      </c>
      <c r="G882" t="s">
        <v>20</v>
      </c>
      <c r="H882">
        <v>2414</v>
      </c>
      <c r="I882" s="5">
        <f t="shared" si="53"/>
        <v>79.989999999999995</v>
      </c>
      <c r="J882" t="s">
        <v>21</v>
      </c>
      <c r="K882" t="s">
        <v>22</v>
      </c>
      <c r="L882">
        <v>1563685200</v>
      </c>
      <c r="M882" s="9">
        <f t="shared" si="54"/>
        <v>43667.208333333328</v>
      </c>
      <c r="N882">
        <v>1563858000</v>
      </c>
      <c r="O882" s="9">
        <f t="shared" si="55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_xlfn.TEXTSPLIT(R882,"/")</f>
        <v>music</v>
      </c>
      <c r="T882" t="str">
        <v>electric music</v>
      </c>
    </row>
    <row r="883" spans="1:20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52"/>
        <v>0.38950000000000001</v>
      </c>
      <c r="G883" t="s">
        <v>14</v>
      </c>
      <c r="H883">
        <v>452</v>
      </c>
      <c r="I883" s="5">
        <f t="shared" si="53"/>
        <v>70.06</v>
      </c>
      <c r="J883" t="s">
        <v>21</v>
      </c>
      <c r="K883" t="s">
        <v>22</v>
      </c>
      <c r="L883">
        <v>1436418000</v>
      </c>
      <c r="M883" s="9">
        <f t="shared" si="54"/>
        <v>42194.208333333328</v>
      </c>
      <c r="N883">
        <v>1438923600</v>
      </c>
      <c r="O883" s="9">
        <f t="shared" si="55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_xlfn.TEXTSPLIT(R883,"/")</f>
        <v>theater</v>
      </c>
      <c r="T883" t="str">
        <v>plays</v>
      </c>
    </row>
    <row r="884" spans="1:20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52"/>
        <v>3.7</v>
      </c>
      <c r="G884" t="s">
        <v>20</v>
      </c>
      <c r="H884">
        <v>80</v>
      </c>
      <c r="I884" s="5">
        <f t="shared" si="53"/>
        <v>37</v>
      </c>
      <c r="J884" t="s">
        <v>21</v>
      </c>
      <c r="K884" t="s">
        <v>22</v>
      </c>
      <c r="L884">
        <v>1421820000</v>
      </c>
      <c r="M884" s="9">
        <f t="shared" si="54"/>
        <v>42025.25</v>
      </c>
      <c r="N884">
        <v>1422165600</v>
      </c>
      <c r="O884" s="9">
        <f t="shared" si="55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_xlfn.TEXTSPLIT(R884,"/")</f>
        <v>theater</v>
      </c>
      <c r="T884" t="str">
        <v>plays</v>
      </c>
    </row>
    <row r="885" spans="1:20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52"/>
        <v>2.3791000000000002</v>
      </c>
      <c r="G885" t="s">
        <v>20</v>
      </c>
      <c r="H885">
        <v>193</v>
      </c>
      <c r="I885" s="5">
        <f t="shared" si="53"/>
        <v>41.91</v>
      </c>
      <c r="J885" t="s">
        <v>21</v>
      </c>
      <c r="K885" t="s">
        <v>22</v>
      </c>
      <c r="L885">
        <v>1274763600</v>
      </c>
      <c r="M885" s="9">
        <f t="shared" si="54"/>
        <v>40323.208333333336</v>
      </c>
      <c r="N885">
        <v>1277874000</v>
      </c>
      <c r="O885" s="9">
        <f t="shared" si="55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_xlfn.TEXTSPLIT(R885,"/")</f>
        <v>film &amp; video</v>
      </c>
      <c r="T885" t="str">
        <v>shorts</v>
      </c>
    </row>
    <row r="886" spans="1:20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52"/>
        <v>0.64039999999999997</v>
      </c>
      <c r="G886" t="s">
        <v>14</v>
      </c>
      <c r="H886">
        <v>1886</v>
      </c>
      <c r="I886" s="5">
        <f t="shared" si="53"/>
        <v>57.99</v>
      </c>
      <c r="J886" t="s">
        <v>21</v>
      </c>
      <c r="K886" t="s">
        <v>22</v>
      </c>
      <c r="L886">
        <v>1399179600</v>
      </c>
      <c r="M886" s="9">
        <f t="shared" si="54"/>
        <v>41763.208333333336</v>
      </c>
      <c r="N886">
        <v>1399352400</v>
      </c>
      <c r="O886" s="9">
        <f t="shared" si="55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_xlfn.TEXTSPLIT(R886,"/")</f>
        <v>theater</v>
      </c>
      <c r="T886" t="str">
        <v>plays</v>
      </c>
    </row>
    <row r="887" spans="1:20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52"/>
        <v>1.1828000000000001</v>
      </c>
      <c r="G887" t="s">
        <v>20</v>
      </c>
      <c r="H887">
        <v>52</v>
      </c>
      <c r="I887" s="5">
        <f t="shared" si="53"/>
        <v>40.94</v>
      </c>
      <c r="J887" t="s">
        <v>21</v>
      </c>
      <c r="K887" t="s">
        <v>22</v>
      </c>
      <c r="L887">
        <v>1275800400</v>
      </c>
      <c r="M887" s="9">
        <f t="shared" si="54"/>
        <v>40335.208333333336</v>
      </c>
      <c r="N887">
        <v>1279083600</v>
      </c>
      <c r="O887" s="9">
        <f t="shared" si="55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_xlfn.TEXTSPLIT(R887,"/")</f>
        <v>theater</v>
      </c>
      <c r="T887" t="str">
        <v>plays</v>
      </c>
    </row>
    <row r="888" spans="1:20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52"/>
        <v>0.84819999999999995</v>
      </c>
      <c r="G888" t="s">
        <v>14</v>
      </c>
      <c r="H888">
        <v>1825</v>
      </c>
      <c r="I888" s="5">
        <f t="shared" si="53"/>
        <v>70</v>
      </c>
      <c r="J888" t="s">
        <v>21</v>
      </c>
      <c r="K888" t="s">
        <v>22</v>
      </c>
      <c r="L888">
        <v>1282798800</v>
      </c>
      <c r="M888" s="9">
        <f t="shared" si="54"/>
        <v>40416.208333333336</v>
      </c>
      <c r="N888">
        <v>1284354000</v>
      </c>
      <c r="O888" s="9">
        <f t="shared" si="55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_xlfn.TEXTSPLIT(R888,"/")</f>
        <v>music</v>
      </c>
      <c r="T888" t="str">
        <v>indie rock</v>
      </c>
    </row>
    <row r="889" spans="1:20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52"/>
        <v>0.29349999999999998</v>
      </c>
      <c r="G889" t="s">
        <v>14</v>
      </c>
      <c r="H889">
        <v>31</v>
      </c>
      <c r="I889" s="5">
        <f t="shared" si="53"/>
        <v>73.84</v>
      </c>
      <c r="J889" t="s">
        <v>21</v>
      </c>
      <c r="K889" t="s">
        <v>22</v>
      </c>
      <c r="L889">
        <v>1437109200</v>
      </c>
      <c r="M889" s="9">
        <f t="shared" si="54"/>
        <v>42202.208333333328</v>
      </c>
      <c r="N889">
        <v>1441170000</v>
      </c>
      <c r="O889" s="9">
        <f t="shared" si="55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_xlfn.TEXTSPLIT(R889,"/")</f>
        <v>theater</v>
      </c>
      <c r="T889" t="str">
        <v>plays</v>
      </c>
    </row>
    <row r="890" spans="1:20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52"/>
        <v>2.0990000000000002</v>
      </c>
      <c r="G890" t="s">
        <v>20</v>
      </c>
      <c r="H890">
        <v>290</v>
      </c>
      <c r="I890" s="5">
        <f t="shared" si="53"/>
        <v>41.98</v>
      </c>
      <c r="J890" t="s">
        <v>21</v>
      </c>
      <c r="K890" t="s">
        <v>22</v>
      </c>
      <c r="L890">
        <v>1491886800</v>
      </c>
      <c r="M890" s="9">
        <f t="shared" si="54"/>
        <v>42836.208333333328</v>
      </c>
      <c r="N890">
        <v>1493528400</v>
      </c>
      <c r="O890" s="9">
        <f t="shared" si="55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_xlfn.TEXTSPLIT(R890,"/")</f>
        <v>theater</v>
      </c>
      <c r="T890" t="str">
        <v>plays</v>
      </c>
    </row>
    <row r="891" spans="1:20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52"/>
        <v>1.6979</v>
      </c>
      <c r="G891" t="s">
        <v>20</v>
      </c>
      <c r="H891">
        <v>122</v>
      </c>
      <c r="I891" s="5">
        <f t="shared" si="53"/>
        <v>77.930000000000007</v>
      </c>
      <c r="J891" t="s">
        <v>21</v>
      </c>
      <c r="K891" t="s">
        <v>22</v>
      </c>
      <c r="L891">
        <v>1394600400</v>
      </c>
      <c r="M891" s="9">
        <f t="shared" si="54"/>
        <v>41710.208333333336</v>
      </c>
      <c r="N891">
        <v>1395205200</v>
      </c>
      <c r="O891" s="9">
        <f t="shared" si="55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_xlfn.TEXTSPLIT(R891,"/")</f>
        <v>music</v>
      </c>
      <c r="T891" t="str">
        <v>electric music</v>
      </c>
    </row>
    <row r="892" spans="1:20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52"/>
        <v>1.1596</v>
      </c>
      <c r="G892" t="s">
        <v>20</v>
      </c>
      <c r="H892">
        <v>1470</v>
      </c>
      <c r="I892" s="5">
        <f t="shared" si="53"/>
        <v>106.02</v>
      </c>
      <c r="J892" t="s">
        <v>21</v>
      </c>
      <c r="K892" t="s">
        <v>22</v>
      </c>
      <c r="L892">
        <v>1561352400</v>
      </c>
      <c r="M892" s="9">
        <f t="shared" si="54"/>
        <v>43640.208333333328</v>
      </c>
      <c r="N892">
        <v>1561438800</v>
      </c>
      <c r="O892" s="9">
        <f t="shared" si="55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_xlfn.TEXTSPLIT(R892,"/")</f>
        <v>music</v>
      </c>
      <c r="T892" t="str">
        <v>indie rock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52"/>
        <v>2.5859999999999999</v>
      </c>
      <c r="G893" t="s">
        <v>20</v>
      </c>
      <c r="H893">
        <v>165</v>
      </c>
      <c r="I893" s="5">
        <f t="shared" si="53"/>
        <v>47.02</v>
      </c>
      <c r="J893" t="s">
        <v>15</v>
      </c>
      <c r="K893" t="s">
        <v>16</v>
      </c>
      <c r="L893">
        <v>1322892000</v>
      </c>
      <c r="M893" s="9">
        <f t="shared" si="54"/>
        <v>40880.25</v>
      </c>
      <c r="N893">
        <v>1326693600</v>
      </c>
      <c r="O893" s="9">
        <f t="shared" si="55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_xlfn.TEXTSPLIT(R893,"/")</f>
        <v>film &amp; video</v>
      </c>
      <c r="T893" t="str">
        <v>documentary</v>
      </c>
    </row>
    <row r="894" spans="1:20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52"/>
        <v>2.3058000000000001</v>
      </c>
      <c r="G894" t="s">
        <v>20</v>
      </c>
      <c r="H894">
        <v>182</v>
      </c>
      <c r="I894" s="5">
        <f t="shared" si="53"/>
        <v>76.02</v>
      </c>
      <c r="J894" t="s">
        <v>21</v>
      </c>
      <c r="K894" t="s">
        <v>22</v>
      </c>
      <c r="L894">
        <v>1274418000</v>
      </c>
      <c r="M894" s="9">
        <f t="shared" si="54"/>
        <v>40319.208333333336</v>
      </c>
      <c r="N894">
        <v>1277960400</v>
      </c>
      <c r="O894" s="9">
        <f t="shared" si="55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_xlfn.TEXTSPLIT(R894,"/")</f>
        <v>publishing</v>
      </c>
      <c r="T894" t="str">
        <v>translations</v>
      </c>
    </row>
    <row r="895" spans="1:20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52"/>
        <v>1.2821</v>
      </c>
      <c r="G895" t="s">
        <v>20</v>
      </c>
      <c r="H895">
        <v>199</v>
      </c>
      <c r="I895" s="5">
        <f t="shared" si="53"/>
        <v>54.12</v>
      </c>
      <c r="J895" t="s">
        <v>107</v>
      </c>
      <c r="K895" t="s">
        <v>108</v>
      </c>
      <c r="L895">
        <v>1434344400</v>
      </c>
      <c r="M895" s="9">
        <f t="shared" si="54"/>
        <v>42170.208333333328</v>
      </c>
      <c r="N895">
        <v>1434690000</v>
      </c>
      <c r="O895" s="9">
        <f t="shared" si="55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_xlfn.TEXTSPLIT(R895,"/")</f>
        <v>film &amp; video</v>
      </c>
      <c r="T895" t="str">
        <v>documentary</v>
      </c>
    </row>
    <row r="896" spans="1:20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52"/>
        <v>1.8871</v>
      </c>
      <c r="G896" t="s">
        <v>20</v>
      </c>
      <c r="H896">
        <v>56</v>
      </c>
      <c r="I896" s="5">
        <f t="shared" si="53"/>
        <v>57.29</v>
      </c>
      <c r="J896" t="s">
        <v>40</v>
      </c>
      <c r="K896" t="s">
        <v>41</v>
      </c>
      <c r="L896">
        <v>1373518800</v>
      </c>
      <c r="M896" s="9">
        <f t="shared" si="54"/>
        <v>41466.208333333336</v>
      </c>
      <c r="N896">
        <v>1376110800</v>
      </c>
      <c r="O896" s="9">
        <f t="shared" si="55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_xlfn.TEXTSPLIT(R896,"/")</f>
        <v>film &amp; video</v>
      </c>
      <c r="T896" t="str">
        <v>television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52"/>
        <v>6.9500000000000006E-2</v>
      </c>
      <c r="G897" t="s">
        <v>14</v>
      </c>
      <c r="H897">
        <v>107</v>
      </c>
      <c r="I897" s="5">
        <f t="shared" si="53"/>
        <v>103.81</v>
      </c>
      <c r="J897" t="s">
        <v>21</v>
      </c>
      <c r="K897" t="s">
        <v>22</v>
      </c>
      <c r="L897">
        <v>1517637600</v>
      </c>
      <c r="M897" s="9">
        <f t="shared" si="54"/>
        <v>43134.25</v>
      </c>
      <c r="N897">
        <v>1518415200</v>
      </c>
      <c r="O897" s="9">
        <f t="shared" si="55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_xlfn.TEXTSPLIT(R897,"/")</f>
        <v>theater</v>
      </c>
      <c r="T897" t="str">
        <v>plays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52"/>
        <v>7.7443</v>
      </c>
      <c r="G898" t="s">
        <v>20</v>
      </c>
      <c r="H898">
        <v>1460</v>
      </c>
      <c r="I898" s="5">
        <f t="shared" si="53"/>
        <v>105.03</v>
      </c>
      <c r="J898" t="s">
        <v>26</v>
      </c>
      <c r="K898" t="s">
        <v>27</v>
      </c>
      <c r="L898">
        <v>1310619600</v>
      </c>
      <c r="M898" s="9">
        <f t="shared" si="54"/>
        <v>40738.208333333336</v>
      </c>
      <c r="N898">
        <v>1310878800</v>
      </c>
      <c r="O898" s="9">
        <f t="shared" si="55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_xlfn.TEXTSPLIT(R898,"/")</f>
        <v>food</v>
      </c>
      <c r="T898" t="str">
        <v>food trucks</v>
      </c>
    </row>
    <row r="899" spans="1:20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ref="F899:F962" si="56">ROUND(E899/D899,4)</f>
        <v>0.27689999999999998</v>
      </c>
      <c r="G899" t="s">
        <v>14</v>
      </c>
      <c r="H899">
        <v>27</v>
      </c>
      <c r="I899" s="5">
        <f t="shared" ref="I899:I962" si="57">IF(H899=0,"0",(ROUND(E899/H899,2)))</f>
        <v>90.26</v>
      </c>
      <c r="J899" t="s">
        <v>21</v>
      </c>
      <c r="K899" t="s">
        <v>22</v>
      </c>
      <c r="L899">
        <v>1556427600</v>
      </c>
      <c r="M899" s="9">
        <f t="shared" ref="M899:M962" si="58">(((L899/60)/60)/24)+DATE(1970,1,1)</f>
        <v>43583.208333333328</v>
      </c>
      <c r="N899">
        <v>1556600400</v>
      </c>
      <c r="O899" s="9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_xlfn.TEXTSPLIT(R899,"/")</f>
        <v>theater</v>
      </c>
      <c r="T899" t="str">
        <v>plays</v>
      </c>
    </row>
    <row r="900" spans="1:20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si="56"/>
        <v>0.52480000000000004</v>
      </c>
      <c r="G900" t="s">
        <v>14</v>
      </c>
      <c r="H900">
        <v>1221</v>
      </c>
      <c r="I900" s="5">
        <f t="shared" si="57"/>
        <v>76.98</v>
      </c>
      <c r="J900" t="s">
        <v>21</v>
      </c>
      <c r="K900" t="s">
        <v>22</v>
      </c>
      <c r="L900">
        <v>1576476000</v>
      </c>
      <c r="M900" s="9">
        <f t="shared" si="58"/>
        <v>43815.25</v>
      </c>
      <c r="N900">
        <v>1576994400</v>
      </c>
      <c r="O900" s="9">
        <f t="shared" si="59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_xlfn.TEXTSPLIT(R900,"/")</f>
        <v>film &amp; video</v>
      </c>
      <c r="T900" t="str">
        <v>documentary</v>
      </c>
    </row>
    <row r="901" spans="1:20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56"/>
        <v>4.0709999999999997</v>
      </c>
      <c r="G901" t="s">
        <v>20</v>
      </c>
      <c r="H901">
        <v>123</v>
      </c>
      <c r="I901" s="5">
        <f t="shared" si="57"/>
        <v>102.6</v>
      </c>
      <c r="J901" t="s">
        <v>98</v>
      </c>
      <c r="K901" t="s">
        <v>99</v>
      </c>
      <c r="L901">
        <v>1381122000</v>
      </c>
      <c r="M901" s="9">
        <f t="shared" si="58"/>
        <v>41554.208333333336</v>
      </c>
      <c r="N901">
        <v>1382677200</v>
      </c>
      <c r="O901" s="9">
        <f t="shared" si="59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_xlfn.TEXTSPLIT(R901,"/")</f>
        <v>music</v>
      </c>
      <c r="T901" t="str">
        <v>jazz</v>
      </c>
    </row>
    <row r="902" spans="1:20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56"/>
        <v>0.02</v>
      </c>
      <c r="G902" t="s">
        <v>14</v>
      </c>
      <c r="H902">
        <v>1</v>
      </c>
      <c r="I902" s="5">
        <f t="shared" si="57"/>
        <v>2</v>
      </c>
      <c r="J902" t="s">
        <v>21</v>
      </c>
      <c r="K902" t="s">
        <v>22</v>
      </c>
      <c r="L902">
        <v>1411102800</v>
      </c>
      <c r="M902" s="9">
        <f t="shared" si="58"/>
        <v>41901.208333333336</v>
      </c>
      <c r="N902">
        <v>1411189200</v>
      </c>
      <c r="O902" s="9">
        <f t="shared" si="59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_xlfn.TEXTSPLIT(R902,"/")</f>
        <v>technology</v>
      </c>
      <c r="T902" t="str">
        <v>web</v>
      </c>
    </row>
    <row r="903" spans="1:20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56"/>
        <v>1.5618000000000001</v>
      </c>
      <c r="G903" t="s">
        <v>20</v>
      </c>
      <c r="H903">
        <v>159</v>
      </c>
      <c r="I903" s="5">
        <f t="shared" si="57"/>
        <v>55.01</v>
      </c>
      <c r="J903" t="s">
        <v>21</v>
      </c>
      <c r="K903" t="s">
        <v>22</v>
      </c>
      <c r="L903">
        <v>1531803600</v>
      </c>
      <c r="M903" s="9">
        <f t="shared" si="58"/>
        <v>43298.208333333328</v>
      </c>
      <c r="N903">
        <v>1534654800</v>
      </c>
      <c r="O903" s="9">
        <f t="shared" si="59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_xlfn.TEXTSPLIT(R903,"/")</f>
        <v>music</v>
      </c>
      <c r="T903" t="str">
        <v>rock</v>
      </c>
    </row>
    <row r="904" spans="1:20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56"/>
        <v>2.5243000000000002</v>
      </c>
      <c r="G904" t="s">
        <v>20</v>
      </c>
      <c r="H904">
        <v>110</v>
      </c>
      <c r="I904" s="5">
        <f t="shared" si="57"/>
        <v>32.130000000000003</v>
      </c>
      <c r="J904" t="s">
        <v>21</v>
      </c>
      <c r="K904" t="s">
        <v>22</v>
      </c>
      <c r="L904">
        <v>1454133600</v>
      </c>
      <c r="M904" s="9">
        <f t="shared" si="58"/>
        <v>42399.25</v>
      </c>
      <c r="N904">
        <v>1457762400</v>
      </c>
      <c r="O904" s="9">
        <f t="shared" si="59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_xlfn.TEXTSPLIT(R904,"/")</f>
        <v>technology</v>
      </c>
      <c r="T904" t="str">
        <v>web</v>
      </c>
    </row>
    <row r="905" spans="1:20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56"/>
        <v>1.7299999999999999E-2</v>
      </c>
      <c r="G905" t="s">
        <v>47</v>
      </c>
      <c r="H905">
        <v>14</v>
      </c>
      <c r="I905" s="5">
        <f t="shared" si="57"/>
        <v>50.64</v>
      </c>
      <c r="J905" t="s">
        <v>21</v>
      </c>
      <c r="K905" t="s">
        <v>22</v>
      </c>
      <c r="L905">
        <v>1336194000</v>
      </c>
      <c r="M905" s="9">
        <f t="shared" si="58"/>
        <v>41034.208333333336</v>
      </c>
      <c r="N905">
        <v>1337490000</v>
      </c>
      <c r="O905" s="9">
        <f t="shared" si="59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_xlfn.TEXTSPLIT(R905,"/")</f>
        <v>publishing</v>
      </c>
      <c r="T905" t="str">
        <v>nonfiction</v>
      </c>
    </row>
    <row r="906" spans="1:20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56"/>
        <v>0.12230000000000001</v>
      </c>
      <c r="G906" t="s">
        <v>14</v>
      </c>
      <c r="H906">
        <v>16</v>
      </c>
      <c r="I906" s="5">
        <f t="shared" si="57"/>
        <v>49.69</v>
      </c>
      <c r="J906" t="s">
        <v>21</v>
      </c>
      <c r="K906" t="s">
        <v>22</v>
      </c>
      <c r="L906">
        <v>1349326800</v>
      </c>
      <c r="M906" s="9">
        <f t="shared" si="58"/>
        <v>41186.208333333336</v>
      </c>
      <c r="N906">
        <v>1349672400</v>
      </c>
      <c r="O906" s="9">
        <f t="shared" si="59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_xlfn.TEXTSPLIT(R906,"/")</f>
        <v>publishing</v>
      </c>
      <c r="T906" t="str">
        <v>radio &amp; podcasts</v>
      </c>
    </row>
    <row r="907" spans="1:20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56"/>
        <v>1.6398999999999999</v>
      </c>
      <c r="G907" t="s">
        <v>20</v>
      </c>
      <c r="H907">
        <v>236</v>
      </c>
      <c r="I907" s="5">
        <f t="shared" si="57"/>
        <v>54.89</v>
      </c>
      <c r="J907" t="s">
        <v>21</v>
      </c>
      <c r="K907" t="s">
        <v>22</v>
      </c>
      <c r="L907">
        <v>1379566800</v>
      </c>
      <c r="M907" s="9">
        <f t="shared" si="58"/>
        <v>41536.208333333336</v>
      </c>
      <c r="N907">
        <v>1379826000</v>
      </c>
      <c r="O907" s="9">
        <f t="shared" si="59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_xlfn.TEXTSPLIT(R907,"/")</f>
        <v>theater</v>
      </c>
      <c r="T907" t="str">
        <v>plays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56"/>
        <v>1.6297999999999999</v>
      </c>
      <c r="G908" t="s">
        <v>20</v>
      </c>
      <c r="H908">
        <v>191</v>
      </c>
      <c r="I908" s="5">
        <f t="shared" si="57"/>
        <v>46.93</v>
      </c>
      <c r="J908" t="s">
        <v>21</v>
      </c>
      <c r="K908" t="s">
        <v>22</v>
      </c>
      <c r="L908">
        <v>1494651600</v>
      </c>
      <c r="M908" s="9">
        <f t="shared" si="58"/>
        <v>42868.208333333328</v>
      </c>
      <c r="N908">
        <v>1497762000</v>
      </c>
      <c r="O908" s="9">
        <f t="shared" si="59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_xlfn.TEXTSPLIT(R908,"/")</f>
        <v>film &amp; video</v>
      </c>
      <c r="T908" t="str">
        <v>documentary</v>
      </c>
    </row>
    <row r="909" spans="1:20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56"/>
        <v>0.20250000000000001</v>
      </c>
      <c r="G909" t="s">
        <v>14</v>
      </c>
      <c r="H909">
        <v>41</v>
      </c>
      <c r="I909" s="5">
        <f t="shared" si="57"/>
        <v>44.95</v>
      </c>
      <c r="J909" t="s">
        <v>21</v>
      </c>
      <c r="K909" t="s">
        <v>22</v>
      </c>
      <c r="L909">
        <v>1303880400</v>
      </c>
      <c r="M909" s="9">
        <f t="shared" si="58"/>
        <v>40660.208333333336</v>
      </c>
      <c r="N909">
        <v>1304485200</v>
      </c>
      <c r="O909" s="9">
        <f t="shared" si="59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_xlfn.TEXTSPLIT(R909,"/")</f>
        <v>theater</v>
      </c>
      <c r="T909" t="str">
        <v>plays</v>
      </c>
    </row>
    <row r="910" spans="1:20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56"/>
        <v>3.1924000000000001</v>
      </c>
      <c r="G910" t="s">
        <v>20</v>
      </c>
      <c r="H910">
        <v>3934</v>
      </c>
      <c r="I910" s="5">
        <f t="shared" si="57"/>
        <v>31</v>
      </c>
      <c r="J910" t="s">
        <v>21</v>
      </c>
      <c r="K910" t="s">
        <v>22</v>
      </c>
      <c r="L910">
        <v>1335934800</v>
      </c>
      <c r="M910" s="9">
        <f t="shared" si="58"/>
        <v>41031.208333333336</v>
      </c>
      <c r="N910">
        <v>1336885200</v>
      </c>
      <c r="O910" s="9">
        <f t="shared" si="59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_xlfn.TEXTSPLIT(R910,"/")</f>
        <v>games</v>
      </c>
      <c r="T910" t="str">
        <v>video games</v>
      </c>
    </row>
    <row r="911" spans="1:20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56"/>
        <v>4.7893999999999997</v>
      </c>
      <c r="G911" t="s">
        <v>20</v>
      </c>
      <c r="H911">
        <v>80</v>
      </c>
      <c r="I911" s="5">
        <f t="shared" si="57"/>
        <v>107.76</v>
      </c>
      <c r="J911" t="s">
        <v>15</v>
      </c>
      <c r="K911" t="s">
        <v>16</v>
      </c>
      <c r="L911">
        <v>1528088400</v>
      </c>
      <c r="M911" s="9">
        <f t="shared" si="58"/>
        <v>43255.208333333328</v>
      </c>
      <c r="N911">
        <v>1530421200</v>
      </c>
      <c r="O911" s="9">
        <f t="shared" si="59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_xlfn.TEXTSPLIT(R911,"/")</f>
        <v>theater</v>
      </c>
      <c r="T911" t="str">
        <v>plays</v>
      </c>
    </row>
    <row r="912" spans="1:20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56"/>
        <v>0.1956</v>
      </c>
      <c r="G912" t="s">
        <v>74</v>
      </c>
      <c r="H912">
        <v>296</v>
      </c>
      <c r="I912" s="5">
        <f t="shared" si="57"/>
        <v>102.08</v>
      </c>
      <c r="J912" t="s">
        <v>21</v>
      </c>
      <c r="K912" t="s">
        <v>22</v>
      </c>
      <c r="L912">
        <v>1421906400</v>
      </c>
      <c r="M912" s="9">
        <f t="shared" si="58"/>
        <v>42026.25</v>
      </c>
      <c r="N912">
        <v>1421992800</v>
      </c>
      <c r="O912" s="9">
        <f t="shared" si="59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_xlfn.TEXTSPLIT(R912,"/")</f>
        <v>theater</v>
      </c>
      <c r="T912" t="str">
        <v>plays</v>
      </c>
    </row>
    <row r="913" spans="1:20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56"/>
        <v>1.9895</v>
      </c>
      <c r="G913" t="s">
        <v>20</v>
      </c>
      <c r="H913">
        <v>462</v>
      </c>
      <c r="I913" s="5">
        <f t="shared" si="57"/>
        <v>24.98</v>
      </c>
      <c r="J913" t="s">
        <v>21</v>
      </c>
      <c r="K913" t="s">
        <v>22</v>
      </c>
      <c r="L913">
        <v>1568005200</v>
      </c>
      <c r="M913" s="9">
        <f t="shared" si="58"/>
        <v>43717.208333333328</v>
      </c>
      <c r="N913">
        <v>1568178000</v>
      </c>
      <c r="O913" s="9">
        <f t="shared" si="59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_xlfn.TEXTSPLIT(R913,"/")</f>
        <v>technology</v>
      </c>
      <c r="T913" t="str">
        <v>web</v>
      </c>
    </row>
    <row r="914" spans="1:20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56"/>
        <v>7.95</v>
      </c>
      <c r="G914" t="s">
        <v>20</v>
      </c>
      <c r="H914">
        <v>179</v>
      </c>
      <c r="I914" s="5">
        <f t="shared" si="57"/>
        <v>79.94</v>
      </c>
      <c r="J914" t="s">
        <v>21</v>
      </c>
      <c r="K914" t="s">
        <v>22</v>
      </c>
      <c r="L914">
        <v>1346821200</v>
      </c>
      <c r="M914" s="9">
        <f t="shared" si="58"/>
        <v>41157.208333333336</v>
      </c>
      <c r="N914">
        <v>1347944400</v>
      </c>
      <c r="O914" s="9">
        <f t="shared" si="59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_xlfn.TEXTSPLIT(R914,"/")</f>
        <v>film &amp; video</v>
      </c>
      <c r="T914" t="str">
        <v>drama</v>
      </c>
    </row>
    <row r="915" spans="1:20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56"/>
        <v>0.50619999999999998</v>
      </c>
      <c r="G915" t="s">
        <v>14</v>
      </c>
      <c r="H915">
        <v>523</v>
      </c>
      <c r="I915" s="5">
        <f t="shared" si="57"/>
        <v>67.95</v>
      </c>
      <c r="J915" t="s">
        <v>26</v>
      </c>
      <c r="K915" t="s">
        <v>27</v>
      </c>
      <c r="L915">
        <v>1557637200</v>
      </c>
      <c r="M915" s="9">
        <f t="shared" si="58"/>
        <v>43597.208333333328</v>
      </c>
      <c r="N915">
        <v>1558760400</v>
      </c>
      <c r="O915" s="9">
        <f t="shared" si="59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_xlfn.TEXTSPLIT(R915,"/")</f>
        <v>film &amp; video</v>
      </c>
      <c r="T915" t="str">
        <v>drama</v>
      </c>
    </row>
    <row r="916" spans="1:20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56"/>
        <v>0.57440000000000002</v>
      </c>
      <c r="G916" t="s">
        <v>14</v>
      </c>
      <c r="H916">
        <v>141</v>
      </c>
      <c r="I916" s="5">
        <f t="shared" si="57"/>
        <v>26.07</v>
      </c>
      <c r="J916" t="s">
        <v>40</v>
      </c>
      <c r="K916" t="s">
        <v>41</v>
      </c>
      <c r="L916">
        <v>1375592400</v>
      </c>
      <c r="M916" s="9">
        <f t="shared" si="58"/>
        <v>41490.208333333336</v>
      </c>
      <c r="N916">
        <v>1376629200</v>
      </c>
      <c r="O916" s="9">
        <f t="shared" si="59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_xlfn.TEXTSPLIT(R916,"/")</f>
        <v>theater</v>
      </c>
      <c r="T916" t="str">
        <v>plays</v>
      </c>
    </row>
    <row r="917" spans="1:20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56"/>
        <v>1.5563</v>
      </c>
      <c r="G917" t="s">
        <v>20</v>
      </c>
      <c r="H917">
        <v>1866</v>
      </c>
      <c r="I917" s="5">
        <f t="shared" si="57"/>
        <v>105</v>
      </c>
      <c r="J917" t="s">
        <v>40</v>
      </c>
      <c r="K917" t="s">
        <v>41</v>
      </c>
      <c r="L917">
        <v>1503982800</v>
      </c>
      <c r="M917" s="9">
        <f t="shared" si="58"/>
        <v>42976.208333333328</v>
      </c>
      <c r="N917">
        <v>1504760400</v>
      </c>
      <c r="O917" s="9">
        <f t="shared" si="59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_xlfn.TEXTSPLIT(R917,"/")</f>
        <v>film &amp; video</v>
      </c>
      <c r="T917" t="str">
        <v>television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56"/>
        <v>0.36299999999999999</v>
      </c>
      <c r="G918" t="s">
        <v>14</v>
      </c>
      <c r="H918">
        <v>52</v>
      </c>
      <c r="I918" s="5">
        <f t="shared" si="57"/>
        <v>25.83</v>
      </c>
      <c r="J918" t="s">
        <v>21</v>
      </c>
      <c r="K918" t="s">
        <v>22</v>
      </c>
      <c r="L918">
        <v>1418882400</v>
      </c>
      <c r="M918" s="9">
        <f t="shared" si="58"/>
        <v>41991.25</v>
      </c>
      <c r="N918">
        <v>1419660000</v>
      </c>
      <c r="O918" s="9">
        <f t="shared" si="59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_xlfn.TEXTSPLIT(R918,"/")</f>
        <v>photography</v>
      </c>
      <c r="T918" t="str">
        <v>photography books</v>
      </c>
    </row>
    <row r="919" spans="1:20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56"/>
        <v>0.58250000000000002</v>
      </c>
      <c r="G919" t="s">
        <v>47</v>
      </c>
      <c r="H919">
        <v>27</v>
      </c>
      <c r="I919" s="5">
        <f t="shared" si="57"/>
        <v>77.67</v>
      </c>
      <c r="J919" t="s">
        <v>40</v>
      </c>
      <c r="K919" t="s">
        <v>41</v>
      </c>
      <c r="L919">
        <v>1309237200</v>
      </c>
      <c r="M919" s="9">
        <f t="shared" si="58"/>
        <v>40722.208333333336</v>
      </c>
      <c r="N919">
        <v>1311310800</v>
      </c>
      <c r="O919" s="9">
        <f t="shared" si="59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_xlfn.TEXTSPLIT(R919,"/")</f>
        <v>film &amp; video</v>
      </c>
      <c r="T919" t="str">
        <v>shorts</v>
      </c>
    </row>
    <row r="920" spans="1:20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56"/>
        <v>2.3738999999999999</v>
      </c>
      <c r="G920" t="s">
        <v>20</v>
      </c>
      <c r="H920">
        <v>156</v>
      </c>
      <c r="I920" s="5">
        <f t="shared" si="57"/>
        <v>57.83</v>
      </c>
      <c r="J920" t="s">
        <v>98</v>
      </c>
      <c r="K920" t="s">
        <v>99</v>
      </c>
      <c r="L920">
        <v>1343365200</v>
      </c>
      <c r="M920" s="9">
        <f t="shared" si="58"/>
        <v>41117.208333333336</v>
      </c>
      <c r="N920">
        <v>1344315600</v>
      </c>
      <c r="O920" s="9">
        <f t="shared" si="59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_xlfn.TEXTSPLIT(R920,"/")</f>
        <v>publishing</v>
      </c>
      <c r="T920" t="str">
        <v>radio &amp; podcasts</v>
      </c>
    </row>
    <row r="921" spans="1:20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56"/>
        <v>0.58750000000000002</v>
      </c>
      <c r="G921" t="s">
        <v>14</v>
      </c>
      <c r="H921">
        <v>225</v>
      </c>
      <c r="I921" s="5">
        <f t="shared" si="57"/>
        <v>92.96</v>
      </c>
      <c r="J921" t="s">
        <v>26</v>
      </c>
      <c r="K921" t="s">
        <v>27</v>
      </c>
      <c r="L921">
        <v>1507957200</v>
      </c>
      <c r="M921" s="9">
        <f t="shared" si="58"/>
        <v>43022.208333333328</v>
      </c>
      <c r="N921">
        <v>1510725600</v>
      </c>
      <c r="O921" s="9">
        <f t="shared" si="59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_xlfn.TEXTSPLIT(R921,"/")</f>
        <v>theater</v>
      </c>
      <c r="T921" t="str">
        <v>plays</v>
      </c>
    </row>
    <row r="922" spans="1:20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56"/>
        <v>1.8257000000000001</v>
      </c>
      <c r="G922" t="s">
        <v>20</v>
      </c>
      <c r="H922">
        <v>255</v>
      </c>
      <c r="I922" s="5">
        <f t="shared" si="57"/>
        <v>37.950000000000003</v>
      </c>
      <c r="J922" t="s">
        <v>21</v>
      </c>
      <c r="K922" t="s">
        <v>22</v>
      </c>
      <c r="L922">
        <v>1549519200</v>
      </c>
      <c r="M922" s="9">
        <f t="shared" si="58"/>
        <v>43503.25</v>
      </c>
      <c r="N922">
        <v>1551247200</v>
      </c>
      <c r="O922" s="9">
        <f t="shared" si="59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_xlfn.TEXTSPLIT(R922,"/")</f>
        <v>film &amp; video</v>
      </c>
      <c r="T922" t="str">
        <v>animation</v>
      </c>
    </row>
    <row r="923" spans="1:20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56"/>
        <v>7.4999999999999997E-3</v>
      </c>
      <c r="G923" t="s">
        <v>14</v>
      </c>
      <c r="H923">
        <v>38</v>
      </c>
      <c r="I923" s="5">
        <f t="shared" si="57"/>
        <v>31.84</v>
      </c>
      <c r="J923" t="s">
        <v>21</v>
      </c>
      <c r="K923" t="s">
        <v>22</v>
      </c>
      <c r="L923">
        <v>1329026400</v>
      </c>
      <c r="M923" s="9">
        <f t="shared" si="58"/>
        <v>40951.25</v>
      </c>
      <c r="N923">
        <v>1330236000</v>
      </c>
      <c r="O923" s="9">
        <f t="shared" si="59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_xlfn.TEXTSPLIT(R923,"/")</f>
        <v>technology</v>
      </c>
      <c r="T923" t="str">
        <v>web</v>
      </c>
    </row>
    <row r="924" spans="1:20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56"/>
        <v>1.7595000000000001</v>
      </c>
      <c r="G924" t="s">
        <v>20</v>
      </c>
      <c r="H924">
        <v>2261</v>
      </c>
      <c r="I924" s="5">
        <f t="shared" si="57"/>
        <v>40</v>
      </c>
      <c r="J924" t="s">
        <v>21</v>
      </c>
      <c r="K924" t="s">
        <v>22</v>
      </c>
      <c r="L924">
        <v>1544335200</v>
      </c>
      <c r="M924" s="9">
        <f t="shared" si="58"/>
        <v>43443.25</v>
      </c>
      <c r="N924">
        <v>1545112800</v>
      </c>
      <c r="O924" s="9">
        <f t="shared" si="59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_xlfn.TEXTSPLIT(R924,"/")</f>
        <v>music</v>
      </c>
      <c r="T924" t="str">
        <v>world music</v>
      </c>
    </row>
    <row r="925" spans="1:20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56"/>
        <v>2.3788</v>
      </c>
      <c r="G925" t="s">
        <v>20</v>
      </c>
      <c r="H925">
        <v>40</v>
      </c>
      <c r="I925" s="5">
        <f t="shared" si="57"/>
        <v>101.1</v>
      </c>
      <c r="J925" t="s">
        <v>21</v>
      </c>
      <c r="K925" t="s">
        <v>22</v>
      </c>
      <c r="L925">
        <v>1279083600</v>
      </c>
      <c r="M925" s="9">
        <f t="shared" si="58"/>
        <v>40373.208333333336</v>
      </c>
      <c r="N925">
        <v>1279170000</v>
      </c>
      <c r="O925" s="9">
        <f t="shared" si="59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_xlfn.TEXTSPLIT(R925,"/")</f>
        <v>theater</v>
      </c>
      <c r="T925" t="str">
        <v>plays</v>
      </c>
    </row>
    <row r="926" spans="1:20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56"/>
        <v>4.8804999999999996</v>
      </c>
      <c r="G926" t="s">
        <v>20</v>
      </c>
      <c r="H926">
        <v>2289</v>
      </c>
      <c r="I926" s="5">
        <f t="shared" si="57"/>
        <v>84.01</v>
      </c>
      <c r="J926" t="s">
        <v>107</v>
      </c>
      <c r="K926" t="s">
        <v>108</v>
      </c>
      <c r="L926">
        <v>1572498000</v>
      </c>
      <c r="M926" s="9">
        <f t="shared" si="58"/>
        <v>43769.208333333328</v>
      </c>
      <c r="N926">
        <v>1573452000</v>
      </c>
      <c r="O926" s="9">
        <f t="shared" si="59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_xlfn.TEXTSPLIT(R926,"/")</f>
        <v>theater</v>
      </c>
      <c r="T926" t="str">
        <v>plays</v>
      </c>
    </row>
    <row r="927" spans="1:20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56"/>
        <v>2.2406999999999999</v>
      </c>
      <c r="G927" t="s">
        <v>20</v>
      </c>
      <c r="H927">
        <v>65</v>
      </c>
      <c r="I927" s="5">
        <f t="shared" si="57"/>
        <v>103.42</v>
      </c>
      <c r="J927" t="s">
        <v>21</v>
      </c>
      <c r="K927" t="s">
        <v>22</v>
      </c>
      <c r="L927">
        <v>1506056400</v>
      </c>
      <c r="M927" s="9">
        <f t="shared" si="58"/>
        <v>43000.208333333328</v>
      </c>
      <c r="N927">
        <v>1507093200</v>
      </c>
      <c r="O927" s="9">
        <f t="shared" si="59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_xlfn.TEXTSPLIT(R927,"/")</f>
        <v>theater</v>
      </c>
      <c r="T927" t="str">
        <v>plays</v>
      </c>
    </row>
    <row r="928" spans="1:20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56"/>
        <v>0.18129999999999999</v>
      </c>
      <c r="G928" t="s">
        <v>14</v>
      </c>
      <c r="H928">
        <v>15</v>
      </c>
      <c r="I928" s="5">
        <f t="shared" si="57"/>
        <v>105.13</v>
      </c>
      <c r="J928" t="s">
        <v>21</v>
      </c>
      <c r="K928" t="s">
        <v>22</v>
      </c>
      <c r="L928">
        <v>1463029200</v>
      </c>
      <c r="M928" s="9">
        <f t="shared" si="58"/>
        <v>42502.208333333328</v>
      </c>
      <c r="N928">
        <v>1463374800</v>
      </c>
      <c r="O928" s="9">
        <f t="shared" si="59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_xlfn.TEXTSPLIT(R928,"/")</f>
        <v>food</v>
      </c>
      <c r="T928" t="str">
        <v>food trucks</v>
      </c>
    </row>
    <row r="929" spans="1:20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56"/>
        <v>0.45850000000000002</v>
      </c>
      <c r="G929" t="s">
        <v>14</v>
      </c>
      <c r="H929">
        <v>37</v>
      </c>
      <c r="I929" s="5">
        <f t="shared" si="57"/>
        <v>89.22</v>
      </c>
      <c r="J929" t="s">
        <v>21</v>
      </c>
      <c r="K929" t="s">
        <v>22</v>
      </c>
      <c r="L929">
        <v>1342069200</v>
      </c>
      <c r="M929" s="9">
        <f t="shared" si="58"/>
        <v>41102.208333333336</v>
      </c>
      <c r="N929">
        <v>1344574800</v>
      </c>
      <c r="O929" s="9">
        <f t="shared" si="59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_xlfn.TEXTSPLIT(R929,"/")</f>
        <v>theater</v>
      </c>
      <c r="T929" t="str">
        <v>plays</v>
      </c>
    </row>
    <row r="930" spans="1:20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56"/>
        <v>1.1732</v>
      </c>
      <c r="G930" t="s">
        <v>20</v>
      </c>
      <c r="H930">
        <v>3777</v>
      </c>
      <c r="I930" s="5">
        <f t="shared" si="57"/>
        <v>52</v>
      </c>
      <c r="J930" t="s">
        <v>107</v>
      </c>
      <c r="K930" t="s">
        <v>108</v>
      </c>
      <c r="L930">
        <v>1388296800</v>
      </c>
      <c r="M930" s="9">
        <f t="shared" si="58"/>
        <v>41637.25</v>
      </c>
      <c r="N930">
        <v>1389074400</v>
      </c>
      <c r="O930" s="9">
        <f t="shared" si="59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_xlfn.TEXTSPLIT(R930,"/")</f>
        <v>technology</v>
      </c>
      <c r="T930" t="str">
        <v>web</v>
      </c>
    </row>
    <row r="931" spans="1:20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56"/>
        <v>2.1730999999999998</v>
      </c>
      <c r="G931" t="s">
        <v>20</v>
      </c>
      <c r="H931">
        <v>184</v>
      </c>
      <c r="I931" s="5">
        <f t="shared" si="57"/>
        <v>64.959999999999994</v>
      </c>
      <c r="J931" t="s">
        <v>40</v>
      </c>
      <c r="K931" t="s">
        <v>41</v>
      </c>
      <c r="L931">
        <v>1493787600</v>
      </c>
      <c r="M931" s="9">
        <f t="shared" si="58"/>
        <v>42858.208333333328</v>
      </c>
      <c r="N931">
        <v>1494997200</v>
      </c>
      <c r="O931" s="9">
        <f t="shared" si="59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_xlfn.TEXTSPLIT(R931,"/")</f>
        <v>theater</v>
      </c>
      <c r="T931" t="str">
        <v>plays</v>
      </c>
    </row>
    <row r="932" spans="1:20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56"/>
        <v>1.1229</v>
      </c>
      <c r="G932" t="s">
        <v>20</v>
      </c>
      <c r="H932">
        <v>85</v>
      </c>
      <c r="I932" s="5">
        <f t="shared" si="57"/>
        <v>46.24</v>
      </c>
      <c r="J932" t="s">
        <v>21</v>
      </c>
      <c r="K932" t="s">
        <v>22</v>
      </c>
      <c r="L932">
        <v>1424844000</v>
      </c>
      <c r="M932" s="9">
        <f t="shared" si="58"/>
        <v>42060.25</v>
      </c>
      <c r="N932">
        <v>1425448800</v>
      </c>
      <c r="O932" s="9">
        <f t="shared" si="59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_xlfn.TEXTSPLIT(R932,"/")</f>
        <v>theater</v>
      </c>
      <c r="T932" t="str">
        <v>plays</v>
      </c>
    </row>
    <row r="933" spans="1:20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56"/>
        <v>0.72519999999999996</v>
      </c>
      <c r="G933" t="s">
        <v>14</v>
      </c>
      <c r="H933">
        <v>112</v>
      </c>
      <c r="I933" s="5">
        <f t="shared" si="57"/>
        <v>51.15</v>
      </c>
      <c r="J933" t="s">
        <v>21</v>
      </c>
      <c r="K933" t="s">
        <v>22</v>
      </c>
      <c r="L933">
        <v>1403931600</v>
      </c>
      <c r="M933" s="9">
        <f t="shared" si="58"/>
        <v>41818.208333333336</v>
      </c>
      <c r="N933">
        <v>1404104400</v>
      </c>
      <c r="O933" s="9">
        <f t="shared" si="59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_xlfn.TEXTSPLIT(R933,"/")</f>
        <v>theater</v>
      </c>
      <c r="T933" t="str">
        <v>plays</v>
      </c>
    </row>
    <row r="934" spans="1:20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56"/>
        <v>2.1230000000000002</v>
      </c>
      <c r="G934" t="s">
        <v>20</v>
      </c>
      <c r="H934">
        <v>144</v>
      </c>
      <c r="I934" s="5">
        <f t="shared" si="57"/>
        <v>33.909999999999997</v>
      </c>
      <c r="J934" t="s">
        <v>21</v>
      </c>
      <c r="K934" t="s">
        <v>22</v>
      </c>
      <c r="L934">
        <v>1394514000</v>
      </c>
      <c r="M934" s="9">
        <f t="shared" si="58"/>
        <v>41709.208333333336</v>
      </c>
      <c r="N934">
        <v>1394773200</v>
      </c>
      <c r="O934" s="9">
        <f t="shared" si="59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_xlfn.TEXTSPLIT(R934,"/")</f>
        <v>music</v>
      </c>
      <c r="T934" t="str">
        <v>rock</v>
      </c>
    </row>
    <row r="935" spans="1:20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56"/>
        <v>2.3975</v>
      </c>
      <c r="G935" t="s">
        <v>20</v>
      </c>
      <c r="H935">
        <v>1902</v>
      </c>
      <c r="I935" s="5">
        <f t="shared" si="57"/>
        <v>92.02</v>
      </c>
      <c r="J935" t="s">
        <v>21</v>
      </c>
      <c r="K935" t="s">
        <v>22</v>
      </c>
      <c r="L935">
        <v>1365397200</v>
      </c>
      <c r="M935" s="9">
        <f t="shared" si="58"/>
        <v>41372.208333333336</v>
      </c>
      <c r="N935">
        <v>1366520400</v>
      </c>
      <c r="O935" s="9">
        <f t="shared" si="59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_xlfn.TEXTSPLIT(R935,"/")</f>
        <v>theater</v>
      </c>
      <c r="T935" t="str">
        <v>plays</v>
      </c>
    </row>
    <row r="936" spans="1:20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56"/>
        <v>1.8193999999999999</v>
      </c>
      <c r="G936" t="s">
        <v>20</v>
      </c>
      <c r="H936">
        <v>105</v>
      </c>
      <c r="I936" s="5">
        <f t="shared" si="57"/>
        <v>107.43</v>
      </c>
      <c r="J936" t="s">
        <v>21</v>
      </c>
      <c r="K936" t="s">
        <v>22</v>
      </c>
      <c r="L936">
        <v>1456120800</v>
      </c>
      <c r="M936" s="9">
        <f t="shared" si="58"/>
        <v>42422.25</v>
      </c>
      <c r="N936">
        <v>1456639200</v>
      </c>
      <c r="O936" s="9">
        <f t="shared" si="59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_xlfn.TEXTSPLIT(R936,"/")</f>
        <v>theater</v>
      </c>
      <c r="T936" t="str">
        <v>plays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56"/>
        <v>1.6413</v>
      </c>
      <c r="G937" t="s">
        <v>20</v>
      </c>
      <c r="H937">
        <v>132</v>
      </c>
      <c r="I937" s="5">
        <f t="shared" si="57"/>
        <v>75.849999999999994</v>
      </c>
      <c r="J937" t="s">
        <v>21</v>
      </c>
      <c r="K937" t="s">
        <v>22</v>
      </c>
      <c r="L937">
        <v>1437714000</v>
      </c>
      <c r="M937" s="9">
        <f t="shared" si="58"/>
        <v>42209.208333333328</v>
      </c>
      <c r="N937">
        <v>1438318800</v>
      </c>
      <c r="O937" s="9">
        <f t="shared" si="59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_xlfn.TEXTSPLIT(R937,"/")</f>
        <v>theater</v>
      </c>
      <c r="T937" t="str">
        <v>plays</v>
      </c>
    </row>
    <row r="938" spans="1:20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56"/>
        <v>1.6400000000000001E-2</v>
      </c>
      <c r="G938" t="s">
        <v>14</v>
      </c>
      <c r="H938">
        <v>21</v>
      </c>
      <c r="I938" s="5">
        <f t="shared" si="57"/>
        <v>80.48</v>
      </c>
      <c r="J938" t="s">
        <v>21</v>
      </c>
      <c r="K938" t="s">
        <v>22</v>
      </c>
      <c r="L938">
        <v>1563771600</v>
      </c>
      <c r="M938" s="9">
        <f t="shared" si="58"/>
        <v>43668.208333333328</v>
      </c>
      <c r="N938">
        <v>1564030800</v>
      </c>
      <c r="O938" s="9">
        <f t="shared" si="59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_xlfn.TEXTSPLIT(R938,"/")</f>
        <v>theater</v>
      </c>
      <c r="T938" t="str">
        <v>plays</v>
      </c>
    </row>
    <row r="939" spans="1:20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56"/>
        <v>0.49640000000000001</v>
      </c>
      <c r="G939" t="s">
        <v>74</v>
      </c>
      <c r="H939">
        <v>976</v>
      </c>
      <c r="I939" s="5">
        <f t="shared" si="57"/>
        <v>86.98</v>
      </c>
      <c r="J939" t="s">
        <v>21</v>
      </c>
      <c r="K939" t="s">
        <v>22</v>
      </c>
      <c r="L939">
        <v>1448517600</v>
      </c>
      <c r="M939" s="9">
        <f t="shared" si="58"/>
        <v>42334.25</v>
      </c>
      <c r="N939">
        <v>1449295200</v>
      </c>
      <c r="O939" s="9">
        <f t="shared" si="59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_xlfn.TEXTSPLIT(R939,"/")</f>
        <v>film &amp; video</v>
      </c>
      <c r="T939" t="str">
        <v>documentary</v>
      </c>
    </row>
    <row r="940" spans="1:20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56"/>
        <v>1.0971</v>
      </c>
      <c r="G940" t="s">
        <v>20</v>
      </c>
      <c r="H940">
        <v>96</v>
      </c>
      <c r="I940" s="5">
        <f t="shared" si="57"/>
        <v>105.14</v>
      </c>
      <c r="J940" t="s">
        <v>21</v>
      </c>
      <c r="K940" t="s">
        <v>22</v>
      </c>
      <c r="L940">
        <v>1528779600</v>
      </c>
      <c r="M940" s="9">
        <f t="shared" si="58"/>
        <v>43263.208333333328</v>
      </c>
      <c r="N940">
        <v>1531890000</v>
      </c>
      <c r="O940" s="9">
        <f t="shared" si="59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_xlfn.TEXTSPLIT(R940,"/")</f>
        <v>publishing</v>
      </c>
      <c r="T940" t="str">
        <v>fiction</v>
      </c>
    </row>
    <row r="941" spans="1:20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56"/>
        <v>0.49220000000000003</v>
      </c>
      <c r="G941" t="s">
        <v>14</v>
      </c>
      <c r="H941">
        <v>67</v>
      </c>
      <c r="I941" s="5">
        <f t="shared" si="57"/>
        <v>57.3</v>
      </c>
      <c r="J941" t="s">
        <v>21</v>
      </c>
      <c r="K941" t="s">
        <v>22</v>
      </c>
      <c r="L941">
        <v>1304744400</v>
      </c>
      <c r="M941" s="9">
        <f t="shared" si="58"/>
        <v>40670.208333333336</v>
      </c>
      <c r="N941">
        <v>1306213200</v>
      </c>
      <c r="O941" s="9">
        <f t="shared" si="59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_xlfn.TEXTSPLIT(R941,"/")</f>
        <v>games</v>
      </c>
      <c r="T941" t="str">
        <v>video games</v>
      </c>
    </row>
    <row r="942" spans="1:20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56"/>
        <v>0.62229999999999996</v>
      </c>
      <c r="G942" t="s">
        <v>47</v>
      </c>
      <c r="H942">
        <v>66</v>
      </c>
      <c r="I942" s="5">
        <f t="shared" si="57"/>
        <v>93.35</v>
      </c>
      <c r="J942" t="s">
        <v>15</v>
      </c>
      <c r="K942" t="s">
        <v>16</v>
      </c>
      <c r="L942">
        <v>1354341600</v>
      </c>
      <c r="M942" s="9">
        <f t="shared" si="58"/>
        <v>41244.25</v>
      </c>
      <c r="N942">
        <v>1356242400</v>
      </c>
      <c r="O942" s="9">
        <f t="shared" si="59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_xlfn.TEXTSPLIT(R942,"/")</f>
        <v>technology</v>
      </c>
      <c r="T942" t="str">
        <v>web</v>
      </c>
    </row>
    <row r="943" spans="1:20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56"/>
        <v>0.13059999999999999</v>
      </c>
      <c r="G943" t="s">
        <v>14</v>
      </c>
      <c r="H943">
        <v>78</v>
      </c>
      <c r="I943" s="5">
        <f t="shared" si="57"/>
        <v>71.989999999999995</v>
      </c>
      <c r="J943" t="s">
        <v>21</v>
      </c>
      <c r="K943" t="s">
        <v>22</v>
      </c>
      <c r="L943">
        <v>1294552800</v>
      </c>
      <c r="M943" s="9">
        <f t="shared" si="58"/>
        <v>40552.25</v>
      </c>
      <c r="N943">
        <v>1297576800</v>
      </c>
      <c r="O943" s="9">
        <f t="shared" si="59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_xlfn.TEXTSPLIT(R943,"/")</f>
        <v>theater</v>
      </c>
      <c r="T943" t="str">
        <v>plays</v>
      </c>
    </row>
    <row r="944" spans="1:20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56"/>
        <v>0.64639999999999997</v>
      </c>
      <c r="G944" t="s">
        <v>14</v>
      </c>
      <c r="H944">
        <v>67</v>
      </c>
      <c r="I944" s="5">
        <f t="shared" si="57"/>
        <v>92.61</v>
      </c>
      <c r="J944" t="s">
        <v>26</v>
      </c>
      <c r="K944" t="s">
        <v>27</v>
      </c>
      <c r="L944">
        <v>1295935200</v>
      </c>
      <c r="M944" s="9">
        <f t="shared" si="58"/>
        <v>40568.25</v>
      </c>
      <c r="N944">
        <v>1296194400</v>
      </c>
      <c r="O944" s="9">
        <f t="shared" si="59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_xlfn.TEXTSPLIT(R944,"/")</f>
        <v>theater</v>
      </c>
      <c r="T944" t="str">
        <v>plays</v>
      </c>
    </row>
    <row r="945" spans="1:20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56"/>
        <v>1.5959000000000001</v>
      </c>
      <c r="G945" t="s">
        <v>20</v>
      </c>
      <c r="H945">
        <v>114</v>
      </c>
      <c r="I945" s="5">
        <f t="shared" si="57"/>
        <v>104.99</v>
      </c>
      <c r="J945" t="s">
        <v>21</v>
      </c>
      <c r="K945" t="s">
        <v>22</v>
      </c>
      <c r="L945">
        <v>1411534800</v>
      </c>
      <c r="M945" s="9">
        <f t="shared" si="58"/>
        <v>41906.208333333336</v>
      </c>
      <c r="N945">
        <v>1414558800</v>
      </c>
      <c r="O945" s="9">
        <f t="shared" si="59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_xlfn.TEXTSPLIT(R945,"/")</f>
        <v>food</v>
      </c>
      <c r="T945" t="str">
        <v>food trucks</v>
      </c>
    </row>
    <row r="946" spans="1:20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56"/>
        <v>0.81420000000000003</v>
      </c>
      <c r="G946" t="s">
        <v>14</v>
      </c>
      <c r="H946">
        <v>263</v>
      </c>
      <c r="I946" s="5">
        <f t="shared" si="57"/>
        <v>30.96</v>
      </c>
      <c r="J946" t="s">
        <v>26</v>
      </c>
      <c r="K946" t="s">
        <v>27</v>
      </c>
      <c r="L946">
        <v>1486706400</v>
      </c>
      <c r="M946" s="9">
        <f t="shared" si="58"/>
        <v>42776.25</v>
      </c>
      <c r="N946">
        <v>1488348000</v>
      </c>
      <c r="O946" s="9">
        <f t="shared" si="59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_xlfn.TEXTSPLIT(R946,"/")</f>
        <v>photography</v>
      </c>
      <c r="T946" t="str">
        <v>photography books</v>
      </c>
    </row>
    <row r="947" spans="1:20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56"/>
        <v>0.32440000000000002</v>
      </c>
      <c r="G947" t="s">
        <v>14</v>
      </c>
      <c r="H947">
        <v>1691</v>
      </c>
      <c r="I947" s="5">
        <f t="shared" si="57"/>
        <v>33</v>
      </c>
      <c r="J947" t="s">
        <v>21</v>
      </c>
      <c r="K947" t="s">
        <v>22</v>
      </c>
      <c r="L947">
        <v>1333602000</v>
      </c>
      <c r="M947" s="9">
        <f t="shared" si="58"/>
        <v>41004.208333333336</v>
      </c>
      <c r="N947">
        <v>1334898000</v>
      </c>
      <c r="O947" s="9">
        <f t="shared" si="59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_xlfn.TEXTSPLIT(R947,"/")</f>
        <v>photography</v>
      </c>
      <c r="T947" t="str">
        <v>photography books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56"/>
        <v>9.9099999999999994E-2</v>
      </c>
      <c r="G948" t="s">
        <v>14</v>
      </c>
      <c r="H948">
        <v>181</v>
      </c>
      <c r="I948" s="5">
        <f t="shared" si="57"/>
        <v>84.19</v>
      </c>
      <c r="J948" t="s">
        <v>21</v>
      </c>
      <c r="K948" t="s">
        <v>22</v>
      </c>
      <c r="L948">
        <v>1308200400</v>
      </c>
      <c r="M948" s="9">
        <f t="shared" si="58"/>
        <v>40710.208333333336</v>
      </c>
      <c r="N948">
        <v>1308373200</v>
      </c>
      <c r="O948" s="9">
        <f t="shared" si="59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_xlfn.TEXTSPLIT(R948,"/")</f>
        <v>theater</v>
      </c>
      <c r="T948" t="str">
        <v>plays</v>
      </c>
    </row>
    <row r="949" spans="1:20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56"/>
        <v>0.26690000000000003</v>
      </c>
      <c r="G949" t="s">
        <v>14</v>
      </c>
      <c r="H949">
        <v>13</v>
      </c>
      <c r="I949" s="5">
        <f t="shared" si="57"/>
        <v>73.92</v>
      </c>
      <c r="J949" t="s">
        <v>21</v>
      </c>
      <c r="K949" t="s">
        <v>22</v>
      </c>
      <c r="L949">
        <v>1411707600</v>
      </c>
      <c r="M949" s="9">
        <f t="shared" si="58"/>
        <v>41908.208333333336</v>
      </c>
      <c r="N949">
        <v>1412312400</v>
      </c>
      <c r="O949" s="9">
        <f t="shared" si="59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_xlfn.TEXTSPLIT(R949,"/")</f>
        <v>theater</v>
      </c>
      <c r="T949" t="str">
        <v>plays</v>
      </c>
    </row>
    <row r="950" spans="1:20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56"/>
        <v>0.62960000000000005</v>
      </c>
      <c r="G950" t="s">
        <v>74</v>
      </c>
      <c r="H950">
        <v>160</v>
      </c>
      <c r="I950" s="5">
        <f t="shared" si="57"/>
        <v>36.99</v>
      </c>
      <c r="J950" t="s">
        <v>21</v>
      </c>
      <c r="K950" t="s">
        <v>22</v>
      </c>
      <c r="L950">
        <v>1418364000</v>
      </c>
      <c r="M950" s="9">
        <f t="shared" si="58"/>
        <v>41985.25</v>
      </c>
      <c r="N950">
        <v>1419228000</v>
      </c>
      <c r="O950" s="9">
        <f t="shared" si="59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_xlfn.TEXTSPLIT(R950,"/")</f>
        <v>film &amp; video</v>
      </c>
      <c r="T950" t="str">
        <v>documentary</v>
      </c>
    </row>
    <row r="951" spans="1:20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56"/>
        <v>1.6135999999999999</v>
      </c>
      <c r="G951" t="s">
        <v>20</v>
      </c>
      <c r="H951">
        <v>203</v>
      </c>
      <c r="I951" s="5">
        <f t="shared" si="57"/>
        <v>46.9</v>
      </c>
      <c r="J951" t="s">
        <v>21</v>
      </c>
      <c r="K951" t="s">
        <v>22</v>
      </c>
      <c r="L951">
        <v>1429333200</v>
      </c>
      <c r="M951" s="9">
        <f t="shared" si="58"/>
        <v>42112.208333333328</v>
      </c>
      <c r="N951">
        <v>1430974800</v>
      </c>
      <c r="O951" s="9">
        <f t="shared" si="59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_xlfn.TEXTSPLIT(R951,"/")</f>
        <v>technology</v>
      </c>
      <c r="T951" t="str">
        <v>web</v>
      </c>
    </row>
    <row r="952" spans="1:20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56"/>
        <v>0.05</v>
      </c>
      <c r="G952" t="s">
        <v>14</v>
      </c>
      <c r="H952">
        <v>1</v>
      </c>
      <c r="I952" s="5">
        <f t="shared" si="57"/>
        <v>5</v>
      </c>
      <c r="J952" t="s">
        <v>21</v>
      </c>
      <c r="K952" t="s">
        <v>22</v>
      </c>
      <c r="L952">
        <v>1555390800</v>
      </c>
      <c r="M952" s="9">
        <f t="shared" si="58"/>
        <v>43571.208333333328</v>
      </c>
      <c r="N952">
        <v>1555822800</v>
      </c>
      <c r="O952" s="9">
        <f t="shared" si="59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_xlfn.TEXTSPLIT(R952,"/")</f>
        <v>theater</v>
      </c>
      <c r="T952" t="str">
        <v>plays</v>
      </c>
    </row>
    <row r="953" spans="1:20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56"/>
        <v>10.9694</v>
      </c>
      <c r="G953" t="s">
        <v>20</v>
      </c>
      <c r="H953">
        <v>1559</v>
      </c>
      <c r="I953" s="5">
        <f t="shared" si="57"/>
        <v>102.02</v>
      </c>
      <c r="J953" t="s">
        <v>21</v>
      </c>
      <c r="K953" t="s">
        <v>22</v>
      </c>
      <c r="L953">
        <v>1482732000</v>
      </c>
      <c r="M953" s="9">
        <f t="shared" si="58"/>
        <v>42730.25</v>
      </c>
      <c r="N953">
        <v>1482818400</v>
      </c>
      <c r="O953" s="9">
        <f t="shared" si="59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_xlfn.TEXTSPLIT(R953,"/")</f>
        <v>music</v>
      </c>
      <c r="T953" t="str">
        <v>rock</v>
      </c>
    </row>
    <row r="954" spans="1:20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56"/>
        <v>0.70089999999999997</v>
      </c>
      <c r="G954" t="s">
        <v>74</v>
      </c>
      <c r="H954">
        <v>2266</v>
      </c>
      <c r="I954" s="5">
        <f t="shared" si="57"/>
        <v>45.01</v>
      </c>
      <c r="J954" t="s">
        <v>21</v>
      </c>
      <c r="K954" t="s">
        <v>22</v>
      </c>
      <c r="L954">
        <v>1470718800</v>
      </c>
      <c r="M954" s="9">
        <f t="shared" si="58"/>
        <v>42591.208333333328</v>
      </c>
      <c r="N954">
        <v>1471928400</v>
      </c>
      <c r="O954" s="9">
        <f t="shared" si="59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_xlfn.TEXTSPLIT(R954,"/")</f>
        <v>film &amp; video</v>
      </c>
      <c r="T954" t="str">
        <v>documentary</v>
      </c>
    </row>
    <row r="955" spans="1:20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56"/>
        <v>0.6</v>
      </c>
      <c r="G955" t="s">
        <v>14</v>
      </c>
      <c r="H955">
        <v>21</v>
      </c>
      <c r="I955" s="5">
        <f t="shared" si="57"/>
        <v>94.29</v>
      </c>
      <c r="J955" t="s">
        <v>21</v>
      </c>
      <c r="K955" t="s">
        <v>22</v>
      </c>
      <c r="L955">
        <v>1450591200</v>
      </c>
      <c r="M955" s="9">
        <f t="shared" si="58"/>
        <v>42358.25</v>
      </c>
      <c r="N955">
        <v>1453701600</v>
      </c>
      <c r="O955" s="9">
        <f t="shared" si="59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_xlfn.TEXTSPLIT(R955,"/")</f>
        <v>film &amp; video</v>
      </c>
      <c r="T955" t="str">
        <v>science fiction</v>
      </c>
    </row>
    <row r="956" spans="1:20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56"/>
        <v>3.6709999999999998</v>
      </c>
      <c r="G956" t="s">
        <v>20</v>
      </c>
      <c r="H956">
        <v>1548</v>
      </c>
      <c r="I956" s="5">
        <f t="shared" si="57"/>
        <v>101.02</v>
      </c>
      <c r="J956" t="s">
        <v>26</v>
      </c>
      <c r="K956" t="s">
        <v>27</v>
      </c>
      <c r="L956">
        <v>1348290000</v>
      </c>
      <c r="M956" s="9">
        <f t="shared" si="58"/>
        <v>41174.208333333336</v>
      </c>
      <c r="N956">
        <v>1350363600</v>
      </c>
      <c r="O956" s="9">
        <f t="shared" si="59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_xlfn.TEXTSPLIT(R956,"/")</f>
        <v>technology</v>
      </c>
      <c r="T956" t="str">
        <v>web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56"/>
        <v>11.09</v>
      </c>
      <c r="G957" t="s">
        <v>20</v>
      </c>
      <c r="H957">
        <v>80</v>
      </c>
      <c r="I957" s="5">
        <f t="shared" si="57"/>
        <v>97.04</v>
      </c>
      <c r="J957" t="s">
        <v>21</v>
      </c>
      <c r="K957" t="s">
        <v>22</v>
      </c>
      <c r="L957">
        <v>1353823200</v>
      </c>
      <c r="M957" s="9">
        <f t="shared" si="58"/>
        <v>41238.25</v>
      </c>
      <c r="N957">
        <v>1353996000</v>
      </c>
      <c r="O957" s="9">
        <f t="shared" si="59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_xlfn.TEXTSPLIT(R957,"/")</f>
        <v>theater</v>
      </c>
      <c r="T957" t="str">
        <v>plays</v>
      </c>
    </row>
    <row r="958" spans="1:20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56"/>
        <v>0.1903</v>
      </c>
      <c r="G958" t="s">
        <v>14</v>
      </c>
      <c r="H958">
        <v>830</v>
      </c>
      <c r="I958" s="5">
        <f t="shared" si="57"/>
        <v>43.01</v>
      </c>
      <c r="J958" t="s">
        <v>21</v>
      </c>
      <c r="K958" t="s">
        <v>22</v>
      </c>
      <c r="L958">
        <v>1450764000</v>
      </c>
      <c r="M958" s="9">
        <f t="shared" si="58"/>
        <v>42360.25</v>
      </c>
      <c r="N958">
        <v>1451109600</v>
      </c>
      <c r="O958" s="9">
        <f t="shared" si="59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_xlfn.TEXTSPLIT(R958,"/")</f>
        <v>film &amp; video</v>
      </c>
      <c r="T958" t="str">
        <v>science fiction</v>
      </c>
    </row>
    <row r="959" spans="1:20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56"/>
        <v>1.2687999999999999</v>
      </c>
      <c r="G959" t="s">
        <v>20</v>
      </c>
      <c r="H959">
        <v>131</v>
      </c>
      <c r="I959" s="5">
        <f t="shared" si="57"/>
        <v>94.92</v>
      </c>
      <c r="J959" t="s">
        <v>21</v>
      </c>
      <c r="K959" t="s">
        <v>22</v>
      </c>
      <c r="L959">
        <v>1329372000</v>
      </c>
      <c r="M959" s="9">
        <f t="shared" si="58"/>
        <v>40955.25</v>
      </c>
      <c r="N959">
        <v>1329631200</v>
      </c>
      <c r="O959" s="9">
        <f t="shared" si="59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_xlfn.TEXTSPLIT(R959,"/")</f>
        <v>theater</v>
      </c>
      <c r="T959" t="str">
        <v>plays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56"/>
        <v>7.3464</v>
      </c>
      <c r="G960" t="s">
        <v>20</v>
      </c>
      <c r="H960">
        <v>112</v>
      </c>
      <c r="I960" s="5">
        <f t="shared" si="57"/>
        <v>72.150000000000006</v>
      </c>
      <c r="J960" t="s">
        <v>21</v>
      </c>
      <c r="K960" t="s">
        <v>22</v>
      </c>
      <c r="L960">
        <v>1277096400</v>
      </c>
      <c r="M960" s="9">
        <f t="shared" si="58"/>
        <v>40350.208333333336</v>
      </c>
      <c r="N960">
        <v>1278997200</v>
      </c>
      <c r="O960" s="9">
        <f t="shared" si="59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_xlfn.TEXTSPLIT(R960,"/")</f>
        <v>film &amp; video</v>
      </c>
      <c r="T960" t="str">
        <v>animation</v>
      </c>
    </row>
    <row r="961" spans="1:20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56"/>
        <v>4.5699999999999998E-2</v>
      </c>
      <c r="G961" t="s">
        <v>14</v>
      </c>
      <c r="H961">
        <v>130</v>
      </c>
      <c r="I961" s="5">
        <f t="shared" si="57"/>
        <v>51.01</v>
      </c>
      <c r="J961" t="s">
        <v>21</v>
      </c>
      <c r="K961" t="s">
        <v>22</v>
      </c>
      <c r="L961">
        <v>1277701200</v>
      </c>
      <c r="M961" s="9">
        <f t="shared" si="58"/>
        <v>40357.208333333336</v>
      </c>
      <c r="N961">
        <v>1280120400</v>
      </c>
      <c r="O961" s="9">
        <f t="shared" si="59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_xlfn.TEXTSPLIT(R961,"/")</f>
        <v>publishing</v>
      </c>
      <c r="T961" t="str">
        <v>translations</v>
      </c>
    </row>
    <row r="962" spans="1:20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56"/>
        <v>0.85050000000000003</v>
      </c>
      <c r="G962" t="s">
        <v>14</v>
      </c>
      <c r="H962">
        <v>55</v>
      </c>
      <c r="I962" s="5">
        <f t="shared" si="57"/>
        <v>85.05</v>
      </c>
      <c r="J962" t="s">
        <v>21</v>
      </c>
      <c r="K962" t="s">
        <v>22</v>
      </c>
      <c r="L962">
        <v>1454911200</v>
      </c>
      <c r="M962" s="9">
        <f t="shared" si="58"/>
        <v>42408.25</v>
      </c>
      <c r="N962">
        <v>1458104400</v>
      </c>
      <c r="O962" s="9">
        <f t="shared" si="59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_xlfn.TEXTSPLIT(R962,"/")</f>
        <v>technology</v>
      </c>
      <c r="T962" t="str">
        <v>web</v>
      </c>
    </row>
    <row r="963" spans="1:20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ref="F963:F1001" si="60">ROUND(E963/D963,4)</f>
        <v>1.1930000000000001</v>
      </c>
      <c r="G963" t="s">
        <v>20</v>
      </c>
      <c r="H963">
        <v>155</v>
      </c>
      <c r="I963" s="5">
        <f t="shared" ref="I963:I1001" si="61">IF(H963=0,"0",(ROUND(E963/H963,2)))</f>
        <v>43.87</v>
      </c>
      <c r="J963" t="s">
        <v>21</v>
      </c>
      <c r="K963" t="s">
        <v>22</v>
      </c>
      <c r="L963">
        <v>1297922400</v>
      </c>
      <c r="M963" s="9">
        <f t="shared" ref="M963:M1001" si="62">(((L963/60)/60)/24)+DATE(1970,1,1)</f>
        <v>40591.25</v>
      </c>
      <c r="N963">
        <v>1298268000</v>
      </c>
      <c r="O963" s="9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_xlfn.TEXTSPLIT(R963,"/")</f>
        <v>publishing</v>
      </c>
      <c r="T963" t="str">
        <v>translations</v>
      </c>
    </row>
    <row r="964" spans="1:20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si="60"/>
        <v>2.9603000000000002</v>
      </c>
      <c r="G964" t="s">
        <v>20</v>
      </c>
      <c r="H964">
        <v>266</v>
      </c>
      <c r="I964" s="5">
        <f t="shared" si="61"/>
        <v>40.06</v>
      </c>
      <c r="J964" t="s">
        <v>21</v>
      </c>
      <c r="K964" t="s">
        <v>22</v>
      </c>
      <c r="L964">
        <v>1384408800</v>
      </c>
      <c r="M964" s="9">
        <f t="shared" si="62"/>
        <v>41592.25</v>
      </c>
      <c r="N964">
        <v>1386223200</v>
      </c>
      <c r="O964" s="9">
        <f t="shared" si="63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_xlfn.TEXTSPLIT(R964,"/")</f>
        <v>food</v>
      </c>
      <c r="T964" t="str">
        <v>food trucks</v>
      </c>
    </row>
    <row r="965" spans="1:20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60"/>
        <v>0.84689999999999999</v>
      </c>
      <c r="G965" t="s">
        <v>14</v>
      </c>
      <c r="H965">
        <v>114</v>
      </c>
      <c r="I965" s="5">
        <f t="shared" si="61"/>
        <v>43.83</v>
      </c>
      <c r="J965" t="s">
        <v>107</v>
      </c>
      <c r="K965" t="s">
        <v>108</v>
      </c>
      <c r="L965">
        <v>1299304800</v>
      </c>
      <c r="M965" s="9">
        <f t="shared" si="62"/>
        <v>40607.25</v>
      </c>
      <c r="N965">
        <v>1299823200</v>
      </c>
      <c r="O965" s="9">
        <f t="shared" si="63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_xlfn.TEXTSPLIT(R965,"/")</f>
        <v>photography</v>
      </c>
      <c r="T965" t="str">
        <v>photography books</v>
      </c>
    </row>
    <row r="966" spans="1:20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60"/>
        <v>3.5577999999999999</v>
      </c>
      <c r="G966" t="s">
        <v>20</v>
      </c>
      <c r="H966">
        <v>155</v>
      </c>
      <c r="I966" s="5">
        <f t="shared" si="61"/>
        <v>84.93</v>
      </c>
      <c r="J966" t="s">
        <v>21</v>
      </c>
      <c r="K966" t="s">
        <v>22</v>
      </c>
      <c r="L966">
        <v>1431320400</v>
      </c>
      <c r="M966" s="9">
        <f t="shared" si="62"/>
        <v>42135.208333333328</v>
      </c>
      <c r="N966">
        <v>1431752400</v>
      </c>
      <c r="O966" s="9">
        <f t="shared" si="63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_xlfn.TEXTSPLIT(R966,"/")</f>
        <v>theater</v>
      </c>
      <c r="T966" t="str">
        <v>plays</v>
      </c>
    </row>
    <row r="967" spans="1:20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60"/>
        <v>3.8641000000000001</v>
      </c>
      <c r="G967" t="s">
        <v>20</v>
      </c>
      <c r="H967">
        <v>207</v>
      </c>
      <c r="I967" s="5">
        <f t="shared" si="61"/>
        <v>41.07</v>
      </c>
      <c r="J967" t="s">
        <v>40</v>
      </c>
      <c r="K967" t="s">
        <v>41</v>
      </c>
      <c r="L967">
        <v>1264399200</v>
      </c>
      <c r="M967" s="9">
        <f t="shared" si="62"/>
        <v>40203.25</v>
      </c>
      <c r="N967">
        <v>1267855200</v>
      </c>
      <c r="O967" s="9">
        <f t="shared" si="63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_xlfn.TEXTSPLIT(R967,"/")</f>
        <v>music</v>
      </c>
      <c r="T967" t="str">
        <v>rock</v>
      </c>
    </row>
    <row r="968" spans="1:20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60"/>
        <v>7.9223999999999997</v>
      </c>
      <c r="G968" t="s">
        <v>20</v>
      </c>
      <c r="H968">
        <v>245</v>
      </c>
      <c r="I968" s="5">
        <f t="shared" si="61"/>
        <v>54.97</v>
      </c>
      <c r="J968" t="s">
        <v>21</v>
      </c>
      <c r="K968" t="s">
        <v>22</v>
      </c>
      <c r="L968">
        <v>1497502800</v>
      </c>
      <c r="M968" s="9">
        <f t="shared" si="62"/>
        <v>42901.208333333328</v>
      </c>
      <c r="N968">
        <v>1497675600</v>
      </c>
      <c r="O968" s="9">
        <f t="shared" si="63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_xlfn.TEXTSPLIT(R968,"/")</f>
        <v>theater</v>
      </c>
      <c r="T968" t="str">
        <v>plays</v>
      </c>
    </row>
    <row r="969" spans="1:20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60"/>
        <v>1.3703000000000001</v>
      </c>
      <c r="G969" t="s">
        <v>20</v>
      </c>
      <c r="H969">
        <v>1573</v>
      </c>
      <c r="I969" s="5">
        <f t="shared" si="61"/>
        <v>77.010000000000005</v>
      </c>
      <c r="J969" t="s">
        <v>21</v>
      </c>
      <c r="K969" t="s">
        <v>22</v>
      </c>
      <c r="L969">
        <v>1333688400</v>
      </c>
      <c r="M969" s="9">
        <f t="shared" si="62"/>
        <v>41005.208333333336</v>
      </c>
      <c r="N969">
        <v>1336885200</v>
      </c>
      <c r="O969" s="9">
        <f t="shared" si="63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_xlfn.TEXTSPLIT(R969,"/")</f>
        <v>music</v>
      </c>
      <c r="T969" t="str">
        <v>world music</v>
      </c>
    </row>
    <row r="970" spans="1:20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60"/>
        <v>3.3820999999999999</v>
      </c>
      <c r="G970" t="s">
        <v>20</v>
      </c>
      <c r="H970">
        <v>114</v>
      </c>
      <c r="I970" s="5">
        <f t="shared" si="61"/>
        <v>71.2</v>
      </c>
      <c r="J970" t="s">
        <v>21</v>
      </c>
      <c r="K970" t="s">
        <v>22</v>
      </c>
      <c r="L970">
        <v>1293861600</v>
      </c>
      <c r="M970" s="9">
        <f t="shared" si="62"/>
        <v>40544.25</v>
      </c>
      <c r="N970">
        <v>1295157600</v>
      </c>
      <c r="O970" s="9">
        <f t="shared" si="63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_xlfn.TEXTSPLIT(R970,"/")</f>
        <v>food</v>
      </c>
      <c r="T970" t="str">
        <v>food trucks</v>
      </c>
    </row>
    <row r="971" spans="1:20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60"/>
        <v>1.0823</v>
      </c>
      <c r="G971" t="s">
        <v>20</v>
      </c>
      <c r="H971">
        <v>93</v>
      </c>
      <c r="I971" s="5">
        <f t="shared" si="61"/>
        <v>91.94</v>
      </c>
      <c r="J971" t="s">
        <v>21</v>
      </c>
      <c r="K971" t="s">
        <v>22</v>
      </c>
      <c r="L971">
        <v>1576994400</v>
      </c>
      <c r="M971" s="9">
        <f t="shared" si="62"/>
        <v>43821.25</v>
      </c>
      <c r="N971">
        <v>1577599200</v>
      </c>
      <c r="O971" s="9">
        <f t="shared" si="63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_xlfn.TEXTSPLIT(R971,"/")</f>
        <v>theater</v>
      </c>
      <c r="T971" t="str">
        <v>plays</v>
      </c>
    </row>
    <row r="972" spans="1:20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60"/>
        <v>0.60760000000000003</v>
      </c>
      <c r="G972" t="s">
        <v>14</v>
      </c>
      <c r="H972">
        <v>594</v>
      </c>
      <c r="I972" s="5">
        <f t="shared" si="61"/>
        <v>97.07</v>
      </c>
      <c r="J972" t="s">
        <v>21</v>
      </c>
      <c r="K972" t="s">
        <v>22</v>
      </c>
      <c r="L972">
        <v>1304917200</v>
      </c>
      <c r="M972" s="9">
        <f t="shared" si="62"/>
        <v>40672.208333333336</v>
      </c>
      <c r="N972">
        <v>1305003600</v>
      </c>
      <c r="O972" s="9">
        <f t="shared" si="63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_xlfn.TEXTSPLIT(R972,"/")</f>
        <v>theater</v>
      </c>
      <c r="T972" t="str">
        <v>plays</v>
      </c>
    </row>
    <row r="973" spans="1:20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60"/>
        <v>0.27729999999999999</v>
      </c>
      <c r="G973" t="s">
        <v>14</v>
      </c>
      <c r="H973">
        <v>24</v>
      </c>
      <c r="I973" s="5">
        <f t="shared" si="61"/>
        <v>58.92</v>
      </c>
      <c r="J973" t="s">
        <v>21</v>
      </c>
      <c r="K973" t="s">
        <v>22</v>
      </c>
      <c r="L973">
        <v>1381208400</v>
      </c>
      <c r="M973" s="9">
        <f t="shared" si="62"/>
        <v>41555.208333333336</v>
      </c>
      <c r="N973">
        <v>1381726800</v>
      </c>
      <c r="O973" s="9">
        <f t="shared" si="63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_xlfn.TEXTSPLIT(R973,"/")</f>
        <v>film &amp; video</v>
      </c>
      <c r="T973" t="str">
        <v>television</v>
      </c>
    </row>
    <row r="974" spans="1:20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60"/>
        <v>2.2839</v>
      </c>
      <c r="G974" t="s">
        <v>20</v>
      </c>
      <c r="H974">
        <v>1681</v>
      </c>
      <c r="I974" s="5">
        <f t="shared" si="61"/>
        <v>58.02</v>
      </c>
      <c r="J974" t="s">
        <v>21</v>
      </c>
      <c r="K974" t="s">
        <v>22</v>
      </c>
      <c r="L974">
        <v>1401685200</v>
      </c>
      <c r="M974" s="9">
        <f t="shared" si="62"/>
        <v>41792.208333333336</v>
      </c>
      <c r="N974">
        <v>1402462800</v>
      </c>
      <c r="O974" s="9">
        <f t="shared" si="63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_xlfn.TEXTSPLIT(R974,"/")</f>
        <v>technology</v>
      </c>
      <c r="T974" t="str">
        <v>web</v>
      </c>
    </row>
    <row r="975" spans="1:20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60"/>
        <v>0.2162</v>
      </c>
      <c r="G975" t="s">
        <v>14</v>
      </c>
      <c r="H975">
        <v>252</v>
      </c>
      <c r="I975" s="5">
        <f t="shared" si="61"/>
        <v>103.87</v>
      </c>
      <c r="J975" t="s">
        <v>21</v>
      </c>
      <c r="K975" t="s">
        <v>22</v>
      </c>
      <c r="L975">
        <v>1291960800</v>
      </c>
      <c r="M975" s="9">
        <f t="shared" si="62"/>
        <v>40522.25</v>
      </c>
      <c r="N975">
        <v>1292133600</v>
      </c>
      <c r="O975" s="9">
        <f t="shared" si="63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_xlfn.TEXTSPLIT(R975,"/")</f>
        <v>theater</v>
      </c>
      <c r="T975" t="str">
        <v>plays</v>
      </c>
    </row>
    <row r="976" spans="1:20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60"/>
        <v>3.7387999999999999</v>
      </c>
      <c r="G976" t="s">
        <v>20</v>
      </c>
      <c r="H976">
        <v>32</v>
      </c>
      <c r="I976" s="5">
        <f t="shared" si="61"/>
        <v>93.47</v>
      </c>
      <c r="J976" t="s">
        <v>21</v>
      </c>
      <c r="K976" t="s">
        <v>22</v>
      </c>
      <c r="L976">
        <v>1368853200</v>
      </c>
      <c r="M976" s="9">
        <f t="shared" si="62"/>
        <v>41412.208333333336</v>
      </c>
      <c r="N976">
        <v>1368939600</v>
      </c>
      <c r="O976" s="9">
        <f t="shared" si="63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_xlfn.TEXTSPLIT(R976,"/")</f>
        <v>music</v>
      </c>
      <c r="T976" t="str">
        <v>indie rock</v>
      </c>
    </row>
    <row r="977" spans="1:20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60"/>
        <v>1.5492999999999999</v>
      </c>
      <c r="G977" t="s">
        <v>20</v>
      </c>
      <c r="H977">
        <v>135</v>
      </c>
      <c r="I977" s="5">
        <f t="shared" si="61"/>
        <v>61.97</v>
      </c>
      <c r="J977" t="s">
        <v>21</v>
      </c>
      <c r="K977" t="s">
        <v>22</v>
      </c>
      <c r="L977">
        <v>1448776800</v>
      </c>
      <c r="M977" s="9">
        <f t="shared" si="62"/>
        <v>42337.25</v>
      </c>
      <c r="N977">
        <v>1452146400</v>
      </c>
      <c r="O977" s="9">
        <f t="shared" si="63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_xlfn.TEXTSPLIT(R977,"/")</f>
        <v>theater</v>
      </c>
      <c r="T977" t="str">
        <v>plays</v>
      </c>
    </row>
    <row r="978" spans="1:20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60"/>
        <v>3.2214999999999998</v>
      </c>
      <c r="G978" t="s">
        <v>20</v>
      </c>
      <c r="H978">
        <v>140</v>
      </c>
      <c r="I978" s="5">
        <f t="shared" si="61"/>
        <v>92.04</v>
      </c>
      <c r="J978" t="s">
        <v>21</v>
      </c>
      <c r="K978" t="s">
        <v>22</v>
      </c>
      <c r="L978">
        <v>1296194400</v>
      </c>
      <c r="M978" s="9">
        <f t="shared" si="62"/>
        <v>40571.25</v>
      </c>
      <c r="N978">
        <v>1296712800</v>
      </c>
      <c r="O978" s="9">
        <f t="shared" si="63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_xlfn.TEXTSPLIT(R978,"/")</f>
        <v>theater</v>
      </c>
      <c r="T978" t="str">
        <v>plays</v>
      </c>
    </row>
    <row r="979" spans="1:20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60"/>
        <v>0.73960000000000004</v>
      </c>
      <c r="G979" t="s">
        <v>14</v>
      </c>
      <c r="H979">
        <v>67</v>
      </c>
      <c r="I979" s="5">
        <f t="shared" si="61"/>
        <v>77.27</v>
      </c>
      <c r="J979" t="s">
        <v>21</v>
      </c>
      <c r="K979" t="s">
        <v>22</v>
      </c>
      <c r="L979">
        <v>1517983200</v>
      </c>
      <c r="M979" s="9">
        <f t="shared" si="62"/>
        <v>43138.25</v>
      </c>
      <c r="N979">
        <v>1520748000</v>
      </c>
      <c r="O979" s="9">
        <f t="shared" si="63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_xlfn.TEXTSPLIT(R979,"/")</f>
        <v>food</v>
      </c>
      <c r="T979" t="str">
        <v>food trucks</v>
      </c>
    </row>
    <row r="980" spans="1:20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60"/>
        <v>8.641</v>
      </c>
      <c r="G980" t="s">
        <v>20</v>
      </c>
      <c r="H980">
        <v>92</v>
      </c>
      <c r="I980" s="5">
        <f t="shared" si="61"/>
        <v>93.92</v>
      </c>
      <c r="J980" t="s">
        <v>21</v>
      </c>
      <c r="K980" t="s">
        <v>22</v>
      </c>
      <c r="L980">
        <v>1478930400</v>
      </c>
      <c r="M980" s="9">
        <f t="shared" si="62"/>
        <v>42686.25</v>
      </c>
      <c r="N980">
        <v>1480831200</v>
      </c>
      <c r="O980" s="9">
        <f t="shared" si="63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_xlfn.TEXTSPLIT(R980,"/")</f>
        <v>games</v>
      </c>
      <c r="T980" t="str">
        <v>video games</v>
      </c>
    </row>
    <row r="981" spans="1:20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60"/>
        <v>1.4326000000000001</v>
      </c>
      <c r="G981" t="s">
        <v>20</v>
      </c>
      <c r="H981">
        <v>1015</v>
      </c>
      <c r="I981" s="5">
        <f t="shared" si="61"/>
        <v>84.97</v>
      </c>
      <c r="J981" t="s">
        <v>40</v>
      </c>
      <c r="K981" t="s">
        <v>41</v>
      </c>
      <c r="L981">
        <v>1426395600</v>
      </c>
      <c r="M981" s="9">
        <f t="shared" si="62"/>
        <v>42078.208333333328</v>
      </c>
      <c r="N981">
        <v>1426914000</v>
      </c>
      <c r="O981" s="9">
        <f t="shared" si="63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_xlfn.TEXTSPLIT(R981,"/")</f>
        <v>theater</v>
      </c>
      <c r="T981" t="str">
        <v>plays</v>
      </c>
    </row>
    <row r="982" spans="1:20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60"/>
        <v>0.40279999999999999</v>
      </c>
      <c r="G982" t="s">
        <v>14</v>
      </c>
      <c r="H982">
        <v>742</v>
      </c>
      <c r="I982" s="5">
        <f t="shared" si="61"/>
        <v>105.97</v>
      </c>
      <c r="J982" t="s">
        <v>21</v>
      </c>
      <c r="K982" t="s">
        <v>22</v>
      </c>
      <c r="L982">
        <v>1446181200</v>
      </c>
      <c r="M982" s="9">
        <f t="shared" si="62"/>
        <v>42307.208333333328</v>
      </c>
      <c r="N982">
        <v>1446616800</v>
      </c>
      <c r="O982" s="9">
        <f t="shared" si="63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_xlfn.TEXTSPLIT(R982,"/")</f>
        <v>publishing</v>
      </c>
      <c r="T982" t="str">
        <v>nonfiction</v>
      </c>
    </row>
    <row r="983" spans="1:20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60"/>
        <v>1.7822</v>
      </c>
      <c r="G983" t="s">
        <v>20</v>
      </c>
      <c r="H983">
        <v>323</v>
      </c>
      <c r="I983" s="5">
        <f t="shared" si="61"/>
        <v>36.97</v>
      </c>
      <c r="J983" t="s">
        <v>21</v>
      </c>
      <c r="K983" t="s">
        <v>22</v>
      </c>
      <c r="L983">
        <v>1514181600</v>
      </c>
      <c r="M983" s="9">
        <f t="shared" si="62"/>
        <v>43094.25</v>
      </c>
      <c r="N983">
        <v>1517032800</v>
      </c>
      <c r="O983" s="9">
        <f t="shared" si="63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_xlfn.TEXTSPLIT(R983,"/")</f>
        <v>technology</v>
      </c>
      <c r="T983" t="str">
        <v>web</v>
      </c>
    </row>
    <row r="984" spans="1:20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60"/>
        <v>0.84930000000000005</v>
      </c>
      <c r="G984" t="s">
        <v>14</v>
      </c>
      <c r="H984">
        <v>75</v>
      </c>
      <c r="I984" s="5">
        <f t="shared" si="61"/>
        <v>81.53</v>
      </c>
      <c r="J984" t="s">
        <v>21</v>
      </c>
      <c r="K984" t="s">
        <v>22</v>
      </c>
      <c r="L984">
        <v>1311051600</v>
      </c>
      <c r="M984" s="9">
        <f t="shared" si="62"/>
        <v>40743.208333333336</v>
      </c>
      <c r="N984">
        <v>1311224400</v>
      </c>
      <c r="O984" s="9">
        <f t="shared" si="63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_xlfn.TEXTSPLIT(R984,"/")</f>
        <v>film &amp; video</v>
      </c>
      <c r="T984" t="str">
        <v>documentary</v>
      </c>
    </row>
    <row r="985" spans="1:20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60"/>
        <v>1.4594</v>
      </c>
      <c r="G985" t="s">
        <v>20</v>
      </c>
      <c r="H985">
        <v>2326</v>
      </c>
      <c r="I985" s="5">
        <f t="shared" si="61"/>
        <v>81</v>
      </c>
      <c r="J985" t="s">
        <v>21</v>
      </c>
      <c r="K985" t="s">
        <v>22</v>
      </c>
      <c r="L985">
        <v>1564894800</v>
      </c>
      <c r="M985" s="9">
        <f t="shared" si="62"/>
        <v>43681.208333333328</v>
      </c>
      <c r="N985">
        <v>1566190800</v>
      </c>
      <c r="O985" s="9">
        <f t="shared" si="63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_xlfn.TEXTSPLIT(R985,"/")</f>
        <v>film &amp; video</v>
      </c>
      <c r="T985" t="str">
        <v>documentary</v>
      </c>
    </row>
    <row r="986" spans="1:20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60"/>
        <v>1.5246</v>
      </c>
      <c r="G986" t="s">
        <v>20</v>
      </c>
      <c r="H986">
        <v>381</v>
      </c>
      <c r="I986" s="5">
        <f t="shared" si="61"/>
        <v>26.01</v>
      </c>
      <c r="J986" t="s">
        <v>21</v>
      </c>
      <c r="K986" t="s">
        <v>22</v>
      </c>
      <c r="L986">
        <v>1567918800</v>
      </c>
      <c r="M986" s="9">
        <f t="shared" si="62"/>
        <v>43716.208333333328</v>
      </c>
      <c r="N986">
        <v>1570165200</v>
      </c>
      <c r="O986" s="9">
        <f t="shared" si="63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_xlfn.TEXTSPLIT(R986,"/")</f>
        <v>theater</v>
      </c>
      <c r="T986" t="str">
        <v>plays</v>
      </c>
    </row>
    <row r="987" spans="1:20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60"/>
        <v>0.67130000000000001</v>
      </c>
      <c r="G987" t="s">
        <v>14</v>
      </c>
      <c r="H987">
        <v>4405</v>
      </c>
      <c r="I987" s="5">
        <f t="shared" si="61"/>
        <v>26</v>
      </c>
      <c r="J987" t="s">
        <v>21</v>
      </c>
      <c r="K987" t="s">
        <v>22</v>
      </c>
      <c r="L987">
        <v>1386309600</v>
      </c>
      <c r="M987" s="9">
        <f t="shared" si="62"/>
        <v>41614.25</v>
      </c>
      <c r="N987">
        <v>1388556000</v>
      </c>
      <c r="O987" s="9">
        <f t="shared" si="63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_xlfn.TEXTSPLIT(R987,"/")</f>
        <v>music</v>
      </c>
      <c r="T987" t="str">
        <v>rock</v>
      </c>
    </row>
    <row r="988" spans="1:20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60"/>
        <v>0.40310000000000001</v>
      </c>
      <c r="G988" t="s">
        <v>14</v>
      </c>
      <c r="H988">
        <v>92</v>
      </c>
      <c r="I988" s="5">
        <f t="shared" si="61"/>
        <v>34.17</v>
      </c>
      <c r="J988" t="s">
        <v>21</v>
      </c>
      <c r="K988" t="s">
        <v>22</v>
      </c>
      <c r="L988">
        <v>1301979600</v>
      </c>
      <c r="M988" s="9">
        <f t="shared" si="62"/>
        <v>40638.208333333336</v>
      </c>
      <c r="N988">
        <v>1303189200</v>
      </c>
      <c r="O988" s="9">
        <f t="shared" si="63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_xlfn.TEXTSPLIT(R988,"/")</f>
        <v>music</v>
      </c>
      <c r="T988" t="str">
        <v>rock</v>
      </c>
    </row>
    <row r="989" spans="1:20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60"/>
        <v>2.1678999999999999</v>
      </c>
      <c r="G989" t="s">
        <v>20</v>
      </c>
      <c r="H989">
        <v>480</v>
      </c>
      <c r="I989" s="5">
        <f t="shared" si="61"/>
        <v>28</v>
      </c>
      <c r="J989" t="s">
        <v>21</v>
      </c>
      <c r="K989" t="s">
        <v>22</v>
      </c>
      <c r="L989">
        <v>1493269200</v>
      </c>
      <c r="M989" s="9">
        <f t="shared" si="62"/>
        <v>42852.208333333328</v>
      </c>
      <c r="N989">
        <v>1494478800</v>
      </c>
      <c r="O989" s="9">
        <f t="shared" si="63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_xlfn.TEXTSPLIT(R989,"/")</f>
        <v>film &amp; video</v>
      </c>
      <c r="T989" t="str">
        <v>documentary</v>
      </c>
    </row>
    <row r="990" spans="1:20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60"/>
        <v>0.5212</v>
      </c>
      <c r="G990" t="s">
        <v>14</v>
      </c>
      <c r="H990">
        <v>64</v>
      </c>
      <c r="I990" s="5">
        <f t="shared" si="61"/>
        <v>76.55</v>
      </c>
      <c r="J990" t="s">
        <v>21</v>
      </c>
      <c r="K990" t="s">
        <v>22</v>
      </c>
      <c r="L990">
        <v>1478930400</v>
      </c>
      <c r="M990" s="9">
        <f t="shared" si="62"/>
        <v>42686.25</v>
      </c>
      <c r="N990">
        <v>1480744800</v>
      </c>
      <c r="O990" s="9">
        <f t="shared" si="63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_xlfn.TEXTSPLIT(R990,"/")</f>
        <v>publishing</v>
      </c>
      <c r="T990" t="str">
        <v>radio &amp; podcasts</v>
      </c>
    </row>
    <row r="991" spans="1:20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60"/>
        <v>4.9958</v>
      </c>
      <c r="G991" t="s">
        <v>20</v>
      </c>
      <c r="H991">
        <v>226</v>
      </c>
      <c r="I991" s="5">
        <f t="shared" si="61"/>
        <v>53.05</v>
      </c>
      <c r="J991" t="s">
        <v>21</v>
      </c>
      <c r="K991" t="s">
        <v>22</v>
      </c>
      <c r="L991">
        <v>1555390800</v>
      </c>
      <c r="M991" s="9">
        <f t="shared" si="62"/>
        <v>43571.208333333328</v>
      </c>
      <c r="N991">
        <v>1555822800</v>
      </c>
      <c r="O991" s="9">
        <f t="shared" si="63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_xlfn.TEXTSPLIT(R991,"/")</f>
        <v>publishing</v>
      </c>
      <c r="T991" t="str">
        <v>translations</v>
      </c>
    </row>
    <row r="992" spans="1:20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60"/>
        <v>0.87680000000000002</v>
      </c>
      <c r="G992" t="s">
        <v>14</v>
      </c>
      <c r="H992">
        <v>64</v>
      </c>
      <c r="I992" s="5">
        <f t="shared" si="61"/>
        <v>106.86</v>
      </c>
      <c r="J992" t="s">
        <v>21</v>
      </c>
      <c r="K992" t="s">
        <v>22</v>
      </c>
      <c r="L992">
        <v>1456984800</v>
      </c>
      <c r="M992" s="9">
        <f t="shared" si="62"/>
        <v>42432.25</v>
      </c>
      <c r="N992">
        <v>1458882000</v>
      </c>
      <c r="O992" s="9">
        <f t="shared" si="63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_xlfn.TEXTSPLIT(R992,"/")</f>
        <v>film &amp; video</v>
      </c>
      <c r="T992" t="str">
        <v>drama</v>
      </c>
    </row>
    <row r="993" spans="1:20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60"/>
        <v>1.1316999999999999</v>
      </c>
      <c r="G993" t="s">
        <v>20</v>
      </c>
      <c r="H993">
        <v>241</v>
      </c>
      <c r="I993" s="5">
        <f t="shared" si="61"/>
        <v>46.02</v>
      </c>
      <c r="J993" t="s">
        <v>21</v>
      </c>
      <c r="K993" t="s">
        <v>22</v>
      </c>
      <c r="L993">
        <v>1411621200</v>
      </c>
      <c r="M993" s="9">
        <f t="shared" si="62"/>
        <v>41907.208333333336</v>
      </c>
      <c r="N993">
        <v>1411966800</v>
      </c>
      <c r="O993" s="9">
        <f t="shared" si="63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_xlfn.TEXTSPLIT(R993,"/")</f>
        <v>music</v>
      </c>
      <c r="T993" t="str">
        <v>rock</v>
      </c>
    </row>
    <row r="994" spans="1:20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60"/>
        <v>4.2655000000000003</v>
      </c>
      <c r="G994" t="s">
        <v>20</v>
      </c>
      <c r="H994">
        <v>132</v>
      </c>
      <c r="I994" s="5">
        <f t="shared" si="61"/>
        <v>100.17</v>
      </c>
      <c r="J994" t="s">
        <v>21</v>
      </c>
      <c r="K994" t="s">
        <v>22</v>
      </c>
      <c r="L994">
        <v>1525669200</v>
      </c>
      <c r="M994" s="9">
        <f t="shared" si="62"/>
        <v>43227.208333333328</v>
      </c>
      <c r="N994">
        <v>1526878800</v>
      </c>
      <c r="O994" s="9">
        <f t="shared" si="63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_xlfn.TEXTSPLIT(R994,"/")</f>
        <v>film &amp; video</v>
      </c>
      <c r="T994" t="str">
        <v>drama</v>
      </c>
    </row>
    <row r="995" spans="1:20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60"/>
        <v>0.77629999999999999</v>
      </c>
      <c r="G995" t="s">
        <v>74</v>
      </c>
      <c r="H995">
        <v>75</v>
      </c>
      <c r="I995" s="5">
        <f t="shared" si="61"/>
        <v>101.44</v>
      </c>
      <c r="J995" t="s">
        <v>107</v>
      </c>
      <c r="K995" t="s">
        <v>108</v>
      </c>
      <c r="L995">
        <v>1450936800</v>
      </c>
      <c r="M995" s="9">
        <f t="shared" si="62"/>
        <v>42362.25</v>
      </c>
      <c r="N995">
        <v>1452405600</v>
      </c>
      <c r="O995" s="9">
        <f t="shared" si="63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_xlfn.TEXTSPLIT(R995,"/")</f>
        <v>photography</v>
      </c>
      <c r="T995" t="str">
        <v>photography books</v>
      </c>
    </row>
    <row r="996" spans="1:20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60"/>
        <v>0.52500000000000002</v>
      </c>
      <c r="G996" t="s">
        <v>14</v>
      </c>
      <c r="H996">
        <v>842</v>
      </c>
      <c r="I996" s="5">
        <f t="shared" si="61"/>
        <v>87.97</v>
      </c>
      <c r="J996" t="s">
        <v>21</v>
      </c>
      <c r="K996" t="s">
        <v>22</v>
      </c>
      <c r="L996">
        <v>1413522000</v>
      </c>
      <c r="M996" s="9">
        <f t="shared" si="62"/>
        <v>41929.208333333336</v>
      </c>
      <c r="N996">
        <v>1414040400</v>
      </c>
      <c r="O996" s="9">
        <f t="shared" si="63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_xlfn.TEXTSPLIT(R996,"/")</f>
        <v>publishing</v>
      </c>
      <c r="T996" t="str">
        <v>translations</v>
      </c>
    </row>
    <row r="997" spans="1:20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60"/>
        <v>1.5747</v>
      </c>
      <c r="G997" t="s">
        <v>20</v>
      </c>
      <c r="H997">
        <v>2043</v>
      </c>
      <c r="I997" s="5">
        <f t="shared" si="61"/>
        <v>75</v>
      </c>
      <c r="J997" t="s">
        <v>21</v>
      </c>
      <c r="K997" t="s">
        <v>22</v>
      </c>
      <c r="L997">
        <v>1541307600</v>
      </c>
      <c r="M997" s="9">
        <f t="shared" si="62"/>
        <v>43408.208333333328</v>
      </c>
      <c r="N997">
        <v>1543816800</v>
      </c>
      <c r="O997" s="9">
        <f t="shared" si="63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_xlfn.TEXTSPLIT(R997,"/")</f>
        <v>food</v>
      </c>
      <c r="T997" t="str">
        <v>food trucks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60"/>
        <v>0.72940000000000005</v>
      </c>
      <c r="G998" t="s">
        <v>14</v>
      </c>
      <c r="H998">
        <v>112</v>
      </c>
      <c r="I998" s="5">
        <f t="shared" si="61"/>
        <v>42.98</v>
      </c>
      <c r="J998" t="s">
        <v>21</v>
      </c>
      <c r="K998" t="s">
        <v>22</v>
      </c>
      <c r="L998">
        <v>1357106400</v>
      </c>
      <c r="M998" s="9">
        <f t="shared" si="62"/>
        <v>41276.25</v>
      </c>
      <c r="N998">
        <v>1359698400</v>
      </c>
      <c r="O998" s="9">
        <f t="shared" si="63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_xlfn.TEXTSPLIT(R998,"/")</f>
        <v>theater</v>
      </c>
      <c r="T998" t="str">
        <v>plays</v>
      </c>
    </row>
    <row r="999" spans="1:20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60"/>
        <v>0.60570000000000002</v>
      </c>
      <c r="G999" t="s">
        <v>74</v>
      </c>
      <c r="H999">
        <v>139</v>
      </c>
      <c r="I999" s="5">
        <f t="shared" si="61"/>
        <v>33.119999999999997</v>
      </c>
      <c r="J999" t="s">
        <v>107</v>
      </c>
      <c r="K999" t="s">
        <v>108</v>
      </c>
      <c r="L999">
        <v>1390197600</v>
      </c>
      <c r="M999" s="9">
        <f t="shared" si="62"/>
        <v>41659.25</v>
      </c>
      <c r="N999">
        <v>1390629600</v>
      </c>
      <c r="O999" s="9">
        <f t="shared" si="63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_xlfn.TEXTSPLIT(R999,"/")</f>
        <v>theater</v>
      </c>
      <c r="T999" t="str">
        <v>plays</v>
      </c>
    </row>
    <row r="1000" spans="1:20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60"/>
        <v>0.56789999999999996</v>
      </c>
      <c r="G1000" t="s">
        <v>14</v>
      </c>
      <c r="H1000">
        <v>374</v>
      </c>
      <c r="I1000" s="5">
        <f t="shared" si="61"/>
        <v>101.13</v>
      </c>
      <c r="J1000" t="s">
        <v>21</v>
      </c>
      <c r="K1000" t="s">
        <v>22</v>
      </c>
      <c r="L1000">
        <v>1265868000</v>
      </c>
      <c r="M1000" s="9">
        <f t="shared" si="62"/>
        <v>40220.25</v>
      </c>
      <c r="N1000">
        <v>1267077600</v>
      </c>
      <c r="O1000" s="9">
        <f t="shared" si="63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_xlfn.TEXTSPLIT(R1000,"/")</f>
        <v>music</v>
      </c>
      <c r="T1000" t="str">
        <v>indie rock</v>
      </c>
    </row>
    <row r="1001" spans="1:20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60"/>
        <v>0.56540000000000001</v>
      </c>
      <c r="G1001" t="s">
        <v>74</v>
      </c>
      <c r="H1001">
        <v>1122</v>
      </c>
      <c r="I1001" s="5">
        <f t="shared" si="61"/>
        <v>55.99</v>
      </c>
      <c r="J1001" t="s">
        <v>21</v>
      </c>
      <c r="K1001" t="s">
        <v>22</v>
      </c>
      <c r="L1001">
        <v>1467176400</v>
      </c>
      <c r="M1001" s="9">
        <f t="shared" si="62"/>
        <v>42550.208333333328</v>
      </c>
      <c r="N1001">
        <v>1467781200</v>
      </c>
      <c r="O1001" s="9">
        <f t="shared" si="63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_xlfn.TEXTSPLIT(R1001,"/")</f>
        <v>food</v>
      </c>
      <c r="T1001" t="str">
        <v>food trucks</v>
      </c>
    </row>
    <row r="1002" spans="1:20" x14ac:dyDescent="0.25">
      <c r="F1002" s="4"/>
    </row>
  </sheetData>
  <autoFilter ref="A1:T1001" xr:uid="{00000000-0001-0000-0000-000000000000}"/>
  <conditionalFormatting sqref="G2:G1001">
    <cfRule type="cellIs" dxfId="11" priority="3" operator="equal">
      <formula>"live"</formula>
    </cfRule>
    <cfRule type="cellIs" dxfId="10" priority="4" operator="equal">
      <formula>"successful"</formula>
    </cfRule>
    <cfRule type="cellIs" dxfId="9" priority="5" operator="equal">
      <formula>"failed"</formula>
    </cfRule>
  </conditionalFormatting>
  <conditionalFormatting sqref="G2:G1001">
    <cfRule type="cellIs" dxfId="8" priority="2" operator="equal">
      <formula>"canceled"</formula>
    </cfRule>
  </conditionalFormatting>
  <conditionalFormatting sqref="F2:F1002">
    <cfRule type="colorScale" priority="1">
      <colorScale>
        <cfvo type="num" val="0"/>
        <cfvo type="num" val="1"/>
        <cfvo type="num" val="2"/>
        <color rgb="FFC00000"/>
        <color rgb="FF00B050"/>
        <color rgb="FF0070C0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89F5F-DE67-4776-B41B-A60F8ED5232D}">
  <dimension ref="A1:H566"/>
  <sheetViews>
    <sheetView workbookViewId="0">
      <selection activeCell="C10" sqref="C10"/>
    </sheetView>
  </sheetViews>
  <sheetFormatPr defaultRowHeight="15.75" x14ac:dyDescent="0.25"/>
  <cols>
    <col min="1" max="1" width="9.375" bestFit="1" customWidth="1"/>
    <col min="2" max="2" width="13" bestFit="1" customWidth="1"/>
    <col min="3" max="3" width="11.625" bestFit="1" customWidth="1"/>
    <col min="4" max="4" width="11.875" bestFit="1" customWidth="1"/>
    <col min="5" max="5" width="7.875" bestFit="1" customWidth="1"/>
    <col min="6" max="6" width="12.625" bestFit="1" customWidth="1"/>
    <col min="7" max="7" width="11.625" bestFit="1" customWidth="1"/>
  </cols>
  <sheetData>
    <row r="1" spans="1:8" x14ac:dyDescent="0.25">
      <c r="A1" t="s">
        <v>4</v>
      </c>
      <c r="B1" t="s">
        <v>2087</v>
      </c>
      <c r="E1" t="s">
        <v>4</v>
      </c>
      <c r="F1" t="s">
        <v>5</v>
      </c>
    </row>
    <row r="2" spans="1:8" x14ac:dyDescent="0.25">
      <c r="A2" t="str">
        <f>Crowdfunding!G3</f>
        <v>successful</v>
      </c>
      <c r="B2">
        <f>Crowdfunding!H3</f>
        <v>158</v>
      </c>
      <c r="C2" t="s">
        <v>2088</v>
      </c>
      <c r="D2">
        <f>ROUND(AVERAGE(B2:B566),2)</f>
        <v>851.15</v>
      </c>
      <c r="E2" t="str">
        <f>Crowdfunding!G2</f>
        <v>failed</v>
      </c>
      <c r="F2">
        <f>Crowdfunding!H2</f>
        <v>0</v>
      </c>
      <c r="G2" t="s">
        <v>2088</v>
      </c>
      <c r="H2">
        <f>ROUND(AVERAGE(F2:F365),2)</f>
        <v>585.62</v>
      </c>
    </row>
    <row r="3" spans="1:8" x14ac:dyDescent="0.25">
      <c r="A3" t="str">
        <f>Crowdfunding!G4</f>
        <v>successful</v>
      </c>
      <c r="B3">
        <f>Crowdfunding!H4</f>
        <v>1425</v>
      </c>
      <c r="C3" t="s">
        <v>2089</v>
      </c>
      <c r="D3">
        <f>ROUND(MEDIAN(B2:B566),2)</f>
        <v>201</v>
      </c>
      <c r="E3" t="str">
        <f>Crowdfunding!G5</f>
        <v>failed</v>
      </c>
      <c r="F3">
        <f>Crowdfunding!H5</f>
        <v>24</v>
      </c>
      <c r="G3" t="s">
        <v>2089</v>
      </c>
      <c r="H3">
        <f>ROUND(MEDIAN(F2:F365),2)</f>
        <v>114.5</v>
      </c>
    </row>
    <row r="4" spans="1:8" x14ac:dyDescent="0.25">
      <c r="A4" t="str">
        <f>Crowdfunding!G7</f>
        <v>successful</v>
      </c>
      <c r="B4">
        <f>Crowdfunding!H7</f>
        <v>174</v>
      </c>
      <c r="C4" t="s">
        <v>2090</v>
      </c>
      <c r="D4">
        <f>ROUND(MIN(B2:B566),2)</f>
        <v>16</v>
      </c>
      <c r="E4" t="str">
        <f>Crowdfunding!G6</f>
        <v>failed</v>
      </c>
      <c r="F4">
        <f>Crowdfunding!H6</f>
        <v>53</v>
      </c>
      <c r="G4" t="s">
        <v>2090</v>
      </c>
      <c r="H4">
        <f>ROUND(MIN(F2:F365),2)</f>
        <v>0</v>
      </c>
    </row>
    <row r="5" spans="1:8" x14ac:dyDescent="0.25">
      <c r="A5" t="str">
        <f>Crowdfunding!G9</f>
        <v>successful</v>
      </c>
      <c r="B5">
        <f>Crowdfunding!H9</f>
        <v>227</v>
      </c>
      <c r="C5" t="s">
        <v>2091</v>
      </c>
      <c r="D5">
        <f>ROUND(MAX(B2:B566),2)</f>
        <v>7295</v>
      </c>
      <c r="E5" t="str">
        <f>Crowdfunding!G8</f>
        <v>failed</v>
      </c>
      <c r="F5">
        <f>Crowdfunding!H8</f>
        <v>18</v>
      </c>
      <c r="G5" t="s">
        <v>2091</v>
      </c>
      <c r="H5">
        <f>ROUND(MAX(F2:F365),2)</f>
        <v>6080</v>
      </c>
    </row>
    <row r="6" spans="1:8" x14ac:dyDescent="0.25">
      <c r="A6" t="str">
        <f>Crowdfunding!G12</f>
        <v>successful</v>
      </c>
      <c r="B6">
        <f>Crowdfunding!H12</f>
        <v>220</v>
      </c>
      <c r="C6" t="s">
        <v>2092</v>
      </c>
      <c r="D6">
        <f>ROUND(_xlfn.VAR.P(B2:B566),2)</f>
        <v>1603373.73</v>
      </c>
      <c r="E6" t="str">
        <f>Crowdfunding!G11</f>
        <v>failed</v>
      </c>
      <c r="F6">
        <f>Crowdfunding!H11</f>
        <v>44</v>
      </c>
      <c r="G6" t="s">
        <v>2092</v>
      </c>
      <c r="H6">
        <f>ROUND(_xlfn.VAR.P(F2:F365),2)</f>
        <v>921574.68</v>
      </c>
    </row>
    <row r="7" spans="1:8" x14ac:dyDescent="0.25">
      <c r="A7" t="str">
        <f>Crowdfunding!G15</f>
        <v>successful</v>
      </c>
      <c r="B7">
        <f>Crowdfunding!H15</f>
        <v>98</v>
      </c>
      <c r="C7" t="s">
        <v>2093</v>
      </c>
      <c r="D7">
        <f>ROUND(_xlfn.STDEV.P(B2:B566),2)</f>
        <v>1266.24</v>
      </c>
      <c r="E7" t="str">
        <f>Crowdfunding!G13</f>
        <v>failed</v>
      </c>
      <c r="F7">
        <f>Crowdfunding!H13</f>
        <v>27</v>
      </c>
      <c r="G7" t="s">
        <v>2093</v>
      </c>
      <c r="H7">
        <f>ROUND(_xlfn.STDEV.P(F2:F365),2)</f>
        <v>959.99</v>
      </c>
    </row>
    <row r="8" spans="1:8" x14ac:dyDescent="0.25">
      <c r="A8" t="str">
        <f>Crowdfunding!G18</f>
        <v>successful</v>
      </c>
      <c r="B8">
        <f>Crowdfunding!H18</f>
        <v>100</v>
      </c>
      <c r="E8" t="str">
        <f>Crowdfunding!G14</f>
        <v>failed</v>
      </c>
      <c r="F8">
        <f>Crowdfunding!H14</f>
        <v>55</v>
      </c>
    </row>
    <row r="9" spans="1:8" x14ac:dyDescent="0.25">
      <c r="A9" t="str">
        <f>Crowdfunding!G19</f>
        <v>successful</v>
      </c>
      <c r="B9">
        <f>Crowdfunding!H19</f>
        <v>1249</v>
      </c>
      <c r="E9" t="str">
        <f>Crowdfunding!G16</f>
        <v>failed</v>
      </c>
      <c r="F9">
        <f>Crowdfunding!H16</f>
        <v>200</v>
      </c>
    </row>
    <row r="10" spans="1:8" x14ac:dyDescent="0.25">
      <c r="A10" t="str">
        <f>Crowdfunding!G22</f>
        <v>successful</v>
      </c>
      <c r="B10">
        <f>Crowdfunding!H22</f>
        <v>1396</v>
      </c>
      <c r="E10" t="str">
        <f>Crowdfunding!G17</f>
        <v>failed</v>
      </c>
      <c r="F10">
        <f>Crowdfunding!H17</f>
        <v>452</v>
      </c>
    </row>
    <row r="11" spans="1:8" x14ac:dyDescent="0.25">
      <c r="A11" t="str">
        <f>Crowdfunding!G24</f>
        <v>successful</v>
      </c>
      <c r="B11">
        <f>Crowdfunding!H24</f>
        <v>890</v>
      </c>
      <c r="E11" t="str">
        <f>Crowdfunding!G21</f>
        <v>failed</v>
      </c>
      <c r="F11">
        <f>Crowdfunding!H21</f>
        <v>674</v>
      </c>
    </row>
    <row r="12" spans="1:8" x14ac:dyDescent="0.25">
      <c r="A12" t="str">
        <f>Crowdfunding!G25</f>
        <v>successful</v>
      </c>
      <c r="B12">
        <f>Crowdfunding!H25</f>
        <v>142</v>
      </c>
      <c r="E12" t="str">
        <f>Crowdfunding!G23</f>
        <v>failed</v>
      </c>
      <c r="F12">
        <f>Crowdfunding!H23</f>
        <v>558</v>
      </c>
    </row>
    <row r="13" spans="1:8" x14ac:dyDescent="0.25">
      <c r="A13" t="str">
        <f>Crowdfunding!G26</f>
        <v>successful</v>
      </c>
      <c r="B13">
        <f>Crowdfunding!H26</f>
        <v>2673</v>
      </c>
      <c r="E13" t="str">
        <f>Crowdfunding!G29</f>
        <v>failed</v>
      </c>
      <c r="F13">
        <f>Crowdfunding!H29</f>
        <v>15</v>
      </c>
    </row>
    <row r="14" spans="1:8" x14ac:dyDescent="0.25">
      <c r="A14" t="str">
        <f>Crowdfunding!G27</f>
        <v>successful</v>
      </c>
      <c r="B14">
        <f>Crowdfunding!H27</f>
        <v>163</v>
      </c>
      <c r="E14" t="str">
        <f>Crowdfunding!G34</f>
        <v>failed</v>
      </c>
      <c r="F14">
        <f>Crowdfunding!H34</f>
        <v>2307</v>
      </c>
    </row>
    <row r="15" spans="1:8" x14ac:dyDescent="0.25">
      <c r="A15" t="str">
        <f>Crowdfunding!G30</f>
        <v>successful</v>
      </c>
      <c r="B15">
        <f>Crowdfunding!H30</f>
        <v>2220</v>
      </c>
      <c r="E15" t="str">
        <f>Crowdfunding!G41</f>
        <v>failed</v>
      </c>
      <c r="F15">
        <f>Crowdfunding!H41</f>
        <v>88</v>
      </c>
    </row>
    <row r="16" spans="1:8" x14ac:dyDescent="0.25">
      <c r="A16" t="str">
        <f>Crowdfunding!G31</f>
        <v>successful</v>
      </c>
      <c r="B16">
        <f>Crowdfunding!H31</f>
        <v>1606</v>
      </c>
      <c r="E16" t="str">
        <f>Crowdfunding!G47</f>
        <v>failed</v>
      </c>
      <c r="F16">
        <f>Crowdfunding!H47</f>
        <v>48</v>
      </c>
    </row>
    <row r="17" spans="1:6" x14ac:dyDescent="0.25">
      <c r="A17" t="str">
        <f>Crowdfunding!G32</f>
        <v>successful</v>
      </c>
      <c r="B17">
        <f>Crowdfunding!H32</f>
        <v>129</v>
      </c>
      <c r="E17" t="str">
        <f>Crowdfunding!G52</f>
        <v>failed</v>
      </c>
      <c r="F17">
        <f>Crowdfunding!H52</f>
        <v>1</v>
      </c>
    </row>
    <row r="18" spans="1:6" x14ac:dyDescent="0.25">
      <c r="A18" t="str">
        <f>Crowdfunding!G33</f>
        <v>successful</v>
      </c>
      <c r="B18">
        <f>Crowdfunding!H33</f>
        <v>226</v>
      </c>
      <c r="E18" t="str">
        <f>Crowdfunding!G53</f>
        <v>failed</v>
      </c>
      <c r="F18">
        <f>Crowdfunding!H53</f>
        <v>1467</v>
      </c>
    </row>
    <row r="19" spans="1:6" x14ac:dyDescent="0.25">
      <c r="A19" t="str">
        <f>Crowdfunding!G35</f>
        <v>successful</v>
      </c>
      <c r="B19">
        <f>Crowdfunding!H35</f>
        <v>5419</v>
      </c>
      <c r="E19" t="str">
        <f>Crowdfunding!G54</f>
        <v>failed</v>
      </c>
      <c r="F19">
        <f>Crowdfunding!H54</f>
        <v>75</v>
      </c>
    </row>
    <row r="20" spans="1:6" x14ac:dyDescent="0.25">
      <c r="A20" t="str">
        <f>Crowdfunding!G36</f>
        <v>successful</v>
      </c>
      <c r="B20">
        <f>Crowdfunding!H36</f>
        <v>165</v>
      </c>
      <c r="E20" t="str">
        <f>Crowdfunding!G56</f>
        <v>failed</v>
      </c>
      <c r="F20">
        <f>Crowdfunding!H56</f>
        <v>120</v>
      </c>
    </row>
    <row r="21" spans="1:6" x14ac:dyDescent="0.25">
      <c r="A21" t="str">
        <f>Crowdfunding!G37</f>
        <v>successful</v>
      </c>
      <c r="B21">
        <f>Crowdfunding!H37</f>
        <v>1965</v>
      </c>
      <c r="E21" t="str">
        <f>Crowdfunding!G63</f>
        <v>failed</v>
      </c>
      <c r="F21">
        <f>Crowdfunding!H63</f>
        <v>2253</v>
      </c>
    </row>
    <row r="22" spans="1:6" x14ac:dyDescent="0.25">
      <c r="A22" t="str">
        <f>Crowdfunding!G38</f>
        <v>successful</v>
      </c>
      <c r="B22">
        <f>Crowdfunding!H38</f>
        <v>16</v>
      </c>
      <c r="E22" t="str">
        <f>Crowdfunding!G65</f>
        <v>failed</v>
      </c>
      <c r="F22">
        <f>Crowdfunding!H65</f>
        <v>5</v>
      </c>
    </row>
    <row r="23" spans="1:6" x14ac:dyDescent="0.25">
      <c r="A23" t="str">
        <f>Crowdfunding!G39</f>
        <v>successful</v>
      </c>
      <c r="B23">
        <f>Crowdfunding!H39</f>
        <v>107</v>
      </c>
      <c r="E23" t="str">
        <f>Crowdfunding!G66</f>
        <v>failed</v>
      </c>
      <c r="F23">
        <f>Crowdfunding!H66</f>
        <v>38</v>
      </c>
    </row>
    <row r="24" spans="1:6" x14ac:dyDescent="0.25">
      <c r="A24" t="str">
        <f>Crowdfunding!G40</f>
        <v>successful</v>
      </c>
      <c r="B24">
        <f>Crowdfunding!H40</f>
        <v>134</v>
      </c>
      <c r="E24" t="str">
        <f>Crowdfunding!G68</f>
        <v>failed</v>
      </c>
      <c r="F24">
        <f>Crowdfunding!H68</f>
        <v>12</v>
      </c>
    </row>
    <row r="25" spans="1:6" x14ac:dyDescent="0.25">
      <c r="A25" t="str">
        <f>Crowdfunding!G42</f>
        <v>successful</v>
      </c>
      <c r="B25">
        <f>Crowdfunding!H42</f>
        <v>198</v>
      </c>
      <c r="E25" t="str">
        <f>Crowdfunding!G78</f>
        <v>failed</v>
      </c>
      <c r="F25">
        <f>Crowdfunding!H78</f>
        <v>1684</v>
      </c>
    </row>
    <row r="26" spans="1:6" x14ac:dyDescent="0.25">
      <c r="A26" t="str">
        <f>Crowdfunding!G43</f>
        <v>successful</v>
      </c>
      <c r="B26">
        <f>Crowdfunding!H43</f>
        <v>111</v>
      </c>
      <c r="E26" t="str">
        <f>Crowdfunding!G79</f>
        <v>failed</v>
      </c>
      <c r="F26">
        <f>Crowdfunding!H79</f>
        <v>56</v>
      </c>
    </row>
    <row r="27" spans="1:6" x14ac:dyDescent="0.25">
      <c r="A27" t="str">
        <f>Crowdfunding!G44</f>
        <v>successful</v>
      </c>
      <c r="B27">
        <f>Crowdfunding!H44</f>
        <v>222</v>
      </c>
      <c r="E27" t="str">
        <f>Crowdfunding!G81</f>
        <v>failed</v>
      </c>
      <c r="F27">
        <f>Crowdfunding!H81</f>
        <v>838</v>
      </c>
    </row>
    <row r="28" spans="1:6" x14ac:dyDescent="0.25">
      <c r="A28" t="str">
        <f>Crowdfunding!G45</f>
        <v>successful</v>
      </c>
      <c r="B28">
        <f>Crowdfunding!H45</f>
        <v>6212</v>
      </c>
      <c r="E28" t="str">
        <f>Crowdfunding!G85</f>
        <v>failed</v>
      </c>
      <c r="F28">
        <f>Crowdfunding!H85</f>
        <v>1000</v>
      </c>
    </row>
    <row r="29" spans="1:6" x14ac:dyDescent="0.25">
      <c r="A29" t="str">
        <f>Crowdfunding!G46</f>
        <v>successful</v>
      </c>
      <c r="B29">
        <f>Crowdfunding!H46</f>
        <v>98</v>
      </c>
      <c r="E29" t="str">
        <f>Crowdfunding!G89</f>
        <v>failed</v>
      </c>
      <c r="F29">
        <f>Crowdfunding!H89</f>
        <v>1482</v>
      </c>
    </row>
    <row r="30" spans="1:6" x14ac:dyDescent="0.25">
      <c r="A30" t="str">
        <f>Crowdfunding!G48</f>
        <v>successful</v>
      </c>
      <c r="B30">
        <f>Crowdfunding!H48</f>
        <v>92</v>
      </c>
      <c r="E30" t="str">
        <f>Crowdfunding!G92</f>
        <v>failed</v>
      </c>
      <c r="F30">
        <f>Crowdfunding!H92</f>
        <v>106</v>
      </c>
    </row>
    <row r="31" spans="1:6" x14ac:dyDescent="0.25">
      <c r="A31" t="str">
        <f>Crowdfunding!G49</f>
        <v>successful</v>
      </c>
      <c r="B31">
        <f>Crowdfunding!H49</f>
        <v>149</v>
      </c>
      <c r="E31" t="str">
        <f>Crowdfunding!G93</f>
        <v>failed</v>
      </c>
      <c r="F31">
        <f>Crowdfunding!H93</f>
        <v>679</v>
      </c>
    </row>
    <row r="32" spans="1:6" x14ac:dyDescent="0.25">
      <c r="A32" t="str">
        <f>Crowdfunding!G50</f>
        <v>successful</v>
      </c>
      <c r="B32">
        <f>Crowdfunding!H50</f>
        <v>2431</v>
      </c>
      <c r="E32" t="str">
        <f>Crowdfunding!G100</f>
        <v>failed</v>
      </c>
      <c r="F32">
        <f>Crowdfunding!H100</f>
        <v>1220</v>
      </c>
    </row>
    <row r="33" spans="1:6" x14ac:dyDescent="0.25">
      <c r="A33" t="str">
        <f>Crowdfunding!G51</f>
        <v>successful</v>
      </c>
      <c r="B33">
        <f>Crowdfunding!H51</f>
        <v>303</v>
      </c>
      <c r="E33" t="str">
        <f>Crowdfunding!G102</f>
        <v>failed</v>
      </c>
      <c r="F33">
        <f>Crowdfunding!H102</f>
        <v>1</v>
      </c>
    </row>
    <row r="34" spans="1:6" x14ac:dyDescent="0.25">
      <c r="A34" t="str">
        <f>Crowdfunding!G55</f>
        <v>successful</v>
      </c>
      <c r="B34">
        <f>Crowdfunding!H55</f>
        <v>209</v>
      </c>
      <c r="E34" t="str">
        <f>Crowdfunding!G105</f>
        <v>failed</v>
      </c>
      <c r="F34">
        <f>Crowdfunding!H105</f>
        <v>37</v>
      </c>
    </row>
    <row r="35" spans="1:6" x14ac:dyDescent="0.25">
      <c r="A35" t="str">
        <f>Crowdfunding!G57</f>
        <v>successful</v>
      </c>
      <c r="B35">
        <f>Crowdfunding!H57</f>
        <v>131</v>
      </c>
      <c r="E35" t="str">
        <f>Crowdfunding!G111</f>
        <v>failed</v>
      </c>
      <c r="F35">
        <f>Crowdfunding!H111</f>
        <v>60</v>
      </c>
    </row>
    <row r="36" spans="1:6" x14ac:dyDescent="0.25">
      <c r="A36" t="str">
        <f>Crowdfunding!G58</f>
        <v>successful</v>
      </c>
      <c r="B36">
        <f>Crowdfunding!H58</f>
        <v>164</v>
      </c>
      <c r="E36" t="str">
        <f>Crowdfunding!G112</f>
        <v>failed</v>
      </c>
      <c r="F36">
        <f>Crowdfunding!H112</f>
        <v>296</v>
      </c>
    </row>
    <row r="37" spans="1:6" x14ac:dyDescent="0.25">
      <c r="A37" t="str">
        <f>Crowdfunding!G59</f>
        <v>successful</v>
      </c>
      <c r="B37">
        <f>Crowdfunding!H59</f>
        <v>201</v>
      </c>
      <c r="E37" t="str">
        <f>Crowdfunding!G117</f>
        <v>failed</v>
      </c>
      <c r="F37">
        <f>Crowdfunding!H117</f>
        <v>3304</v>
      </c>
    </row>
    <row r="38" spans="1:6" x14ac:dyDescent="0.25">
      <c r="A38" t="str">
        <f>Crowdfunding!G60</f>
        <v>successful</v>
      </c>
      <c r="B38">
        <f>Crowdfunding!H60</f>
        <v>211</v>
      </c>
      <c r="E38" t="str">
        <f>Crowdfunding!G118</f>
        <v>failed</v>
      </c>
      <c r="F38">
        <f>Crowdfunding!H118</f>
        <v>73</v>
      </c>
    </row>
    <row r="39" spans="1:6" x14ac:dyDescent="0.25">
      <c r="A39" t="str">
        <f>Crowdfunding!G61</f>
        <v>successful</v>
      </c>
      <c r="B39">
        <f>Crowdfunding!H61</f>
        <v>128</v>
      </c>
      <c r="E39" t="str">
        <f>Crowdfunding!G124</f>
        <v>failed</v>
      </c>
      <c r="F39">
        <f>Crowdfunding!H124</f>
        <v>3387</v>
      </c>
    </row>
    <row r="40" spans="1:6" x14ac:dyDescent="0.25">
      <c r="A40" t="str">
        <f>Crowdfunding!G62</f>
        <v>successful</v>
      </c>
      <c r="B40">
        <f>Crowdfunding!H62</f>
        <v>1600</v>
      </c>
      <c r="E40" t="str">
        <f>Crowdfunding!G125</f>
        <v>failed</v>
      </c>
      <c r="F40">
        <f>Crowdfunding!H125</f>
        <v>662</v>
      </c>
    </row>
    <row r="41" spans="1:6" x14ac:dyDescent="0.25">
      <c r="A41" t="str">
        <f>Crowdfunding!G64</f>
        <v>successful</v>
      </c>
      <c r="B41">
        <f>Crowdfunding!H64</f>
        <v>249</v>
      </c>
      <c r="E41" t="str">
        <f>Crowdfunding!G128</f>
        <v>failed</v>
      </c>
      <c r="F41">
        <f>Crowdfunding!H128</f>
        <v>774</v>
      </c>
    </row>
    <row r="42" spans="1:6" x14ac:dyDescent="0.25">
      <c r="A42" t="str">
        <f>Crowdfunding!G67</f>
        <v>successful</v>
      </c>
      <c r="B42">
        <f>Crowdfunding!H67</f>
        <v>236</v>
      </c>
      <c r="E42" t="str">
        <f>Crowdfunding!G129</f>
        <v>failed</v>
      </c>
      <c r="F42">
        <f>Crowdfunding!H129</f>
        <v>672</v>
      </c>
    </row>
    <row r="43" spans="1:6" x14ac:dyDescent="0.25">
      <c r="A43" t="str">
        <f>Crowdfunding!G69</f>
        <v>successful</v>
      </c>
      <c r="B43">
        <f>Crowdfunding!H69</f>
        <v>4065</v>
      </c>
      <c r="E43" t="str">
        <f>Crowdfunding!G136</f>
        <v>failed</v>
      </c>
      <c r="F43">
        <f>Crowdfunding!H136</f>
        <v>940</v>
      </c>
    </row>
    <row r="44" spans="1:6" x14ac:dyDescent="0.25">
      <c r="A44" t="str">
        <f>Crowdfunding!G70</f>
        <v>successful</v>
      </c>
      <c r="B44">
        <f>Crowdfunding!H70</f>
        <v>246</v>
      </c>
      <c r="E44" t="str">
        <f>Crowdfunding!G137</f>
        <v>failed</v>
      </c>
      <c r="F44">
        <f>Crowdfunding!H137</f>
        <v>117</v>
      </c>
    </row>
    <row r="45" spans="1:6" x14ac:dyDescent="0.25">
      <c r="A45" t="str">
        <f>Crowdfunding!G72</f>
        <v>successful</v>
      </c>
      <c r="B45">
        <f>Crowdfunding!H72</f>
        <v>2475</v>
      </c>
      <c r="E45" t="str">
        <f>Crowdfunding!G140</f>
        <v>failed</v>
      </c>
      <c r="F45">
        <f>Crowdfunding!H140</f>
        <v>115</v>
      </c>
    </row>
    <row r="46" spans="1:6" x14ac:dyDescent="0.25">
      <c r="A46" t="str">
        <f>Crowdfunding!G73</f>
        <v>successful</v>
      </c>
      <c r="B46">
        <f>Crowdfunding!H73</f>
        <v>76</v>
      </c>
      <c r="E46" t="str">
        <f>Crowdfunding!G141</f>
        <v>failed</v>
      </c>
      <c r="F46">
        <f>Crowdfunding!H141</f>
        <v>326</v>
      </c>
    </row>
    <row r="47" spans="1:6" x14ac:dyDescent="0.25">
      <c r="A47" t="str">
        <f>Crowdfunding!G74</f>
        <v>successful</v>
      </c>
      <c r="B47">
        <f>Crowdfunding!H74</f>
        <v>54</v>
      </c>
      <c r="E47" t="str">
        <f>Crowdfunding!G152</f>
        <v>failed</v>
      </c>
      <c r="F47">
        <f>Crowdfunding!H152</f>
        <v>1</v>
      </c>
    </row>
    <row r="48" spans="1:6" x14ac:dyDescent="0.25">
      <c r="A48" t="str">
        <f>Crowdfunding!G75</f>
        <v>successful</v>
      </c>
      <c r="B48">
        <f>Crowdfunding!H75</f>
        <v>88</v>
      </c>
      <c r="E48" t="str">
        <f>Crowdfunding!G153</f>
        <v>failed</v>
      </c>
      <c r="F48">
        <f>Crowdfunding!H153</f>
        <v>1467</v>
      </c>
    </row>
    <row r="49" spans="1:6" x14ac:dyDescent="0.25">
      <c r="A49" t="str">
        <f>Crowdfunding!G76</f>
        <v>successful</v>
      </c>
      <c r="B49">
        <f>Crowdfunding!H76</f>
        <v>85</v>
      </c>
      <c r="E49" t="str">
        <f>Crowdfunding!G155</f>
        <v>failed</v>
      </c>
      <c r="F49">
        <f>Crowdfunding!H155</f>
        <v>5681</v>
      </c>
    </row>
    <row r="50" spans="1:6" x14ac:dyDescent="0.25">
      <c r="A50" t="str">
        <f>Crowdfunding!G77</f>
        <v>successful</v>
      </c>
      <c r="B50">
        <f>Crowdfunding!H77</f>
        <v>170</v>
      </c>
      <c r="E50" t="str">
        <f>Crowdfunding!G156</f>
        <v>failed</v>
      </c>
      <c r="F50">
        <f>Crowdfunding!H156</f>
        <v>1059</v>
      </c>
    </row>
    <row r="51" spans="1:6" x14ac:dyDescent="0.25">
      <c r="A51" t="str">
        <f>Crowdfunding!G80</f>
        <v>successful</v>
      </c>
      <c r="B51">
        <f>Crowdfunding!H80</f>
        <v>330</v>
      </c>
      <c r="E51" t="str">
        <f>Crowdfunding!G157</f>
        <v>failed</v>
      </c>
      <c r="F51">
        <f>Crowdfunding!H157</f>
        <v>1194</v>
      </c>
    </row>
    <row r="52" spans="1:6" x14ac:dyDescent="0.25">
      <c r="A52" t="str">
        <f>Crowdfunding!G82</f>
        <v>successful</v>
      </c>
      <c r="B52">
        <f>Crowdfunding!H82</f>
        <v>127</v>
      </c>
      <c r="E52" t="str">
        <f>Crowdfunding!G159</f>
        <v>failed</v>
      </c>
      <c r="F52">
        <f>Crowdfunding!H159</f>
        <v>30</v>
      </c>
    </row>
    <row r="53" spans="1:6" x14ac:dyDescent="0.25">
      <c r="A53" t="str">
        <f>Crowdfunding!G83</f>
        <v>successful</v>
      </c>
      <c r="B53">
        <f>Crowdfunding!H83</f>
        <v>411</v>
      </c>
      <c r="E53" t="str">
        <f>Crowdfunding!G163</f>
        <v>failed</v>
      </c>
      <c r="F53">
        <f>Crowdfunding!H163</f>
        <v>75</v>
      </c>
    </row>
    <row r="54" spans="1:6" x14ac:dyDescent="0.25">
      <c r="A54" t="str">
        <f>Crowdfunding!G84</f>
        <v>successful</v>
      </c>
      <c r="B54">
        <f>Crowdfunding!H84</f>
        <v>180</v>
      </c>
      <c r="E54" t="str">
        <f>Crowdfunding!G170</f>
        <v>failed</v>
      </c>
      <c r="F54">
        <f>Crowdfunding!H170</f>
        <v>955</v>
      </c>
    </row>
    <row r="55" spans="1:6" x14ac:dyDescent="0.25">
      <c r="A55" t="str">
        <f>Crowdfunding!G86</f>
        <v>successful</v>
      </c>
      <c r="B55">
        <f>Crowdfunding!H86</f>
        <v>374</v>
      </c>
      <c r="E55" t="str">
        <f>Crowdfunding!G172</f>
        <v>failed</v>
      </c>
      <c r="F55">
        <f>Crowdfunding!H172</f>
        <v>67</v>
      </c>
    </row>
    <row r="56" spans="1:6" x14ac:dyDescent="0.25">
      <c r="A56" t="str">
        <f>Crowdfunding!G87</f>
        <v>successful</v>
      </c>
      <c r="B56">
        <f>Crowdfunding!H87</f>
        <v>71</v>
      </c>
      <c r="E56" t="str">
        <f>Crowdfunding!G173</f>
        <v>failed</v>
      </c>
      <c r="F56">
        <f>Crowdfunding!H173</f>
        <v>5</v>
      </c>
    </row>
    <row r="57" spans="1:6" x14ac:dyDescent="0.25">
      <c r="A57" t="str">
        <f>Crowdfunding!G88</f>
        <v>successful</v>
      </c>
      <c r="B57">
        <f>Crowdfunding!H88</f>
        <v>203</v>
      </c>
      <c r="E57" t="str">
        <f>Crowdfunding!G174</f>
        <v>failed</v>
      </c>
      <c r="F57">
        <f>Crowdfunding!H174</f>
        <v>26</v>
      </c>
    </row>
    <row r="58" spans="1:6" x14ac:dyDescent="0.25">
      <c r="A58" t="str">
        <f>Crowdfunding!G90</f>
        <v>successful</v>
      </c>
      <c r="B58">
        <f>Crowdfunding!H90</f>
        <v>113</v>
      </c>
      <c r="E58" t="str">
        <f>Crowdfunding!G177</f>
        <v>failed</v>
      </c>
      <c r="F58">
        <f>Crowdfunding!H177</f>
        <v>1130</v>
      </c>
    </row>
    <row r="59" spans="1:6" x14ac:dyDescent="0.25">
      <c r="A59" t="str">
        <f>Crowdfunding!G91</f>
        <v>successful</v>
      </c>
      <c r="B59">
        <f>Crowdfunding!H91</f>
        <v>96</v>
      </c>
      <c r="E59" t="str">
        <f>Crowdfunding!G178</f>
        <v>failed</v>
      </c>
      <c r="F59">
        <f>Crowdfunding!H178</f>
        <v>782</v>
      </c>
    </row>
    <row r="60" spans="1:6" x14ac:dyDescent="0.25">
      <c r="A60" t="str">
        <f>Crowdfunding!G94</f>
        <v>successful</v>
      </c>
      <c r="B60">
        <f>Crowdfunding!H94</f>
        <v>498</v>
      </c>
      <c r="E60" t="str">
        <f>Crowdfunding!G180</f>
        <v>failed</v>
      </c>
      <c r="F60">
        <f>Crowdfunding!H180</f>
        <v>210</v>
      </c>
    </row>
    <row r="61" spans="1:6" x14ac:dyDescent="0.25">
      <c r="A61" t="str">
        <f>Crowdfunding!G96</f>
        <v>successful</v>
      </c>
      <c r="B61">
        <f>Crowdfunding!H96</f>
        <v>180</v>
      </c>
      <c r="E61" t="str">
        <f>Crowdfunding!G183</f>
        <v>failed</v>
      </c>
      <c r="F61">
        <f>Crowdfunding!H183</f>
        <v>136</v>
      </c>
    </row>
    <row r="62" spans="1:6" x14ac:dyDescent="0.25">
      <c r="A62" t="str">
        <f>Crowdfunding!G97</f>
        <v>successful</v>
      </c>
      <c r="B62">
        <f>Crowdfunding!H97</f>
        <v>27</v>
      </c>
      <c r="E62" t="str">
        <f>Crowdfunding!G185</f>
        <v>failed</v>
      </c>
      <c r="F62">
        <f>Crowdfunding!H185</f>
        <v>86</v>
      </c>
    </row>
    <row r="63" spans="1:6" x14ac:dyDescent="0.25">
      <c r="A63" t="str">
        <f>Crowdfunding!G98</f>
        <v>successful</v>
      </c>
      <c r="B63">
        <f>Crowdfunding!H98</f>
        <v>2331</v>
      </c>
      <c r="E63" t="str">
        <f>Crowdfunding!G187</f>
        <v>failed</v>
      </c>
      <c r="F63">
        <f>Crowdfunding!H187</f>
        <v>19</v>
      </c>
    </row>
    <row r="64" spans="1:6" x14ac:dyDescent="0.25">
      <c r="A64" t="str">
        <f>Crowdfunding!G99</f>
        <v>successful</v>
      </c>
      <c r="B64">
        <f>Crowdfunding!H99</f>
        <v>113</v>
      </c>
      <c r="E64" t="str">
        <f>Crowdfunding!G188</f>
        <v>failed</v>
      </c>
      <c r="F64">
        <f>Crowdfunding!H188</f>
        <v>886</v>
      </c>
    </row>
    <row r="65" spans="1:6" x14ac:dyDescent="0.25">
      <c r="A65" t="str">
        <f>Crowdfunding!G101</f>
        <v>successful</v>
      </c>
      <c r="B65">
        <f>Crowdfunding!H101</f>
        <v>164</v>
      </c>
      <c r="E65" t="str">
        <f>Crowdfunding!G190</f>
        <v>failed</v>
      </c>
      <c r="F65">
        <f>Crowdfunding!H190</f>
        <v>35</v>
      </c>
    </row>
    <row r="66" spans="1:6" x14ac:dyDescent="0.25">
      <c r="A66" t="str">
        <f>Crowdfunding!G103</f>
        <v>successful</v>
      </c>
      <c r="B66">
        <f>Crowdfunding!H103</f>
        <v>164</v>
      </c>
      <c r="E66" t="str">
        <f>Crowdfunding!G192</f>
        <v>failed</v>
      </c>
      <c r="F66">
        <f>Crowdfunding!H192</f>
        <v>24</v>
      </c>
    </row>
    <row r="67" spans="1:6" x14ac:dyDescent="0.25">
      <c r="A67" t="str">
        <f>Crowdfunding!G104</f>
        <v>successful</v>
      </c>
      <c r="B67">
        <f>Crowdfunding!H104</f>
        <v>336</v>
      </c>
      <c r="E67" t="str">
        <f>Crowdfunding!G193</f>
        <v>failed</v>
      </c>
      <c r="F67">
        <f>Crowdfunding!H193</f>
        <v>86</v>
      </c>
    </row>
    <row r="68" spans="1:6" x14ac:dyDescent="0.25">
      <c r="A68" t="str">
        <f>Crowdfunding!G106</f>
        <v>successful</v>
      </c>
      <c r="B68">
        <f>Crowdfunding!H106</f>
        <v>1917</v>
      </c>
      <c r="E68" t="str">
        <f>Crowdfunding!G194</f>
        <v>failed</v>
      </c>
      <c r="F68">
        <f>Crowdfunding!H194</f>
        <v>243</v>
      </c>
    </row>
    <row r="69" spans="1:6" x14ac:dyDescent="0.25">
      <c r="A69" t="str">
        <f>Crowdfunding!G107</f>
        <v>successful</v>
      </c>
      <c r="B69">
        <f>Crowdfunding!H107</f>
        <v>95</v>
      </c>
      <c r="E69" t="str">
        <f>Crowdfunding!G195</f>
        <v>failed</v>
      </c>
      <c r="F69">
        <f>Crowdfunding!H195</f>
        <v>65</v>
      </c>
    </row>
    <row r="70" spans="1:6" x14ac:dyDescent="0.25">
      <c r="A70" t="str">
        <f>Crowdfunding!G108</f>
        <v>successful</v>
      </c>
      <c r="B70">
        <f>Crowdfunding!H108</f>
        <v>147</v>
      </c>
      <c r="E70" t="str">
        <f>Crowdfunding!G198</f>
        <v>failed</v>
      </c>
      <c r="F70">
        <f>Crowdfunding!H198</f>
        <v>100</v>
      </c>
    </row>
    <row r="71" spans="1:6" x14ac:dyDescent="0.25">
      <c r="A71" t="str">
        <f>Crowdfunding!G109</f>
        <v>successful</v>
      </c>
      <c r="B71">
        <f>Crowdfunding!H109</f>
        <v>86</v>
      </c>
      <c r="E71" t="str">
        <f>Crowdfunding!G200</f>
        <v>failed</v>
      </c>
      <c r="F71">
        <f>Crowdfunding!H200</f>
        <v>168</v>
      </c>
    </row>
    <row r="72" spans="1:6" x14ac:dyDescent="0.25">
      <c r="A72" t="str">
        <f>Crowdfunding!G110</f>
        <v>successful</v>
      </c>
      <c r="B72">
        <f>Crowdfunding!H110</f>
        <v>83</v>
      </c>
      <c r="E72" t="str">
        <f>Crowdfunding!G201</f>
        <v>failed</v>
      </c>
      <c r="F72">
        <f>Crowdfunding!H201</f>
        <v>13</v>
      </c>
    </row>
    <row r="73" spans="1:6" x14ac:dyDescent="0.25">
      <c r="A73" t="str">
        <f>Crowdfunding!G113</f>
        <v>successful</v>
      </c>
      <c r="B73">
        <f>Crowdfunding!H113</f>
        <v>676</v>
      </c>
      <c r="E73" t="str">
        <f>Crowdfunding!G202</f>
        <v>failed</v>
      </c>
      <c r="F73">
        <f>Crowdfunding!H202</f>
        <v>1</v>
      </c>
    </row>
    <row r="74" spans="1:6" x14ac:dyDescent="0.25">
      <c r="A74" t="str">
        <f>Crowdfunding!G114</f>
        <v>successful</v>
      </c>
      <c r="B74">
        <f>Crowdfunding!H114</f>
        <v>361</v>
      </c>
      <c r="E74" t="str">
        <f>Crowdfunding!G206</f>
        <v>failed</v>
      </c>
      <c r="F74">
        <f>Crowdfunding!H206</f>
        <v>40</v>
      </c>
    </row>
    <row r="75" spans="1:6" x14ac:dyDescent="0.25">
      <c r="A75" t="str">
        <f>Crowdfunding!G115</f>
        <v>successful</v>
      </c>
      <c r="B75">
        <f>Crowdfunding!H115</f>
        <v>131</v>
      </c>
      <c r="E75" t="str">
        <f>Crowdfunding!G212</f>
        <v>failed</v>
      </c>
      <c r="F75">
        <f>Crowdfunding!H212</f>
        <v>226</v>
      </c>
    </row>
    <row r="76" spans="1:6" x14ac:dyDescent="0.25">
      <c r="A76" t="str">
        <f>Crowdfunding!G116</f>
        <v>successful</v>
      </c>
      <c r="B76">
        <f>Crowdfunding!H116</f>
        <v>126</v>
      </c>
      <c r="E76" t="str">
        <f>Crowdfunding!G213</f>
        <v>failed</v>
      </c>
      <c r="F76">
        <f>Crowdfunding!H213</f>
        <v>1625</v>
      </c>
    </row>
    <row r="77" spans="1:6" x14ac:dyDescent="0.25">
      <c r="A77" t="str">
        <f>Crowdfunding!G119</f>
        <v>successful</v>
      </c>
      <c r="B77">
        <f>Crowdfunding!H119</f>
        <v>275</v>
      </c>
      <c r="E77" t="str">
        <f>Crowdfunding!G217</f>
        <v>failed</v>
      </c>
      <c r="F77">
        <f>Crowdfunding!H217</f>
        <v>143</v>
      </c>
    </row>
    <row r="78" spans="1:6" x14ac:dyDescent="0.25">
      <c r="A78" t="str">
        <f>Crowdfunding!G120</f>
        <v>successful</v>
      </c>
      <c r="B78">
        <f>Crowdfunding!H120</f>
        <v>67</v>
      </c>
      <c r="E78" t="str">
        <f>Crowdfunding!G219</f>
        <v>failed</v>
      </c>
      <c r="F78">
        <f>Crowdfunding!H219</f>
        <v>934</v>
      </c>
    </row>
    <row r="79" spans="1:6" x14ac:dyDescent="0.25">
      <c r="A79" t="str">
        <f>Crowdfunding!G121</f>
        <v>successful</v>
      </c>
      <c r="B79">
        <f>Crowdfunding!H121</f>
        <v>154</v>
      </c>
      <c r="E79" t="str">
        <f>Crowdfunding!G222</f>
        <v>failed</v>
      </c>
      <c r="F79">
        <f>Crowdfunding!H222</f>
        <v>17</v>
      </c>
    </row>
    <row r="80" spans="1:6" x14ac:dyDescent="0.25">
      <c r="A80" t="str">
        <f>Crowdfunding!G122</f>
        <v>successful</v>
      </c>
      <c r="B80">
        <f>Crowdfunding!H122</f>
        <v>1782</v>
      </c>
      <c r="E80" t="str">
        <f>Crowdfunding!G223</f>
        <v>failed</v>
      </c>
      <c r="F80">
        <f>Crowdfunding!H223</f>
        <v>2179</v>
      </c>
    </row>
    <row r="81" spans="1:6" x14ac:dyDescent="0.25">
      <c r="A81" t="str">
        <f>Crowdfunding!G123</f>
        <v>successful</v>
      </c>
      <c r="B81">
        <f>Crowdfunding!H123</f>
        <v>903</v>
      </c>
      <c r="E81" t="str">
        <f>Crowdfunding!G225</f>
        <v>failed</v>
      </c>
      <c r="F81">
        <f>Crowdfunding!H225</f>
        <v>931</v>
      </c>
    </row>
    <row r="82" spans="1:6" x14ac:dyDescent="0.25">
      <c r="A82" t="str">
        <f>Crowdfunding!G126</f>
        <v>successful</v>
      </c>
      <c r="B82">
        <f>Crowdfunding!H126</f>
        <v>94</v>
      </c>
      <c r="E82" t="str">
        <f>Crowdfunding!G237</f>
        <v>failed</v>
      </c>
      <c r="F82">
        <f>Crowdfunding!H237</f>
        <v>92</v>
      </c>
    </row>
    <row r="83" spans="1:6" x14ac:dyDescent="0.25">
      <c r="A83" t="str">
        <f>Crowdfunding!G127</f>
        <v>successful</v>
      </c>
      <c r="B83">
        <f>Crowdfunding!H127</f>
        <v>180</v>
      </c>
      <c r="E83" t="str">
        <f>Crowdfunding!G238</f>
        <v>failed</v>
      </c>
      <c r="F83">
        <f>Crowdfunding!H238</f>
        <v>57</v>
      </c>
    </row>
    <row r="84" spans="1:6" x14ac:dyDescent="0.25">
      <c r="A84" t="str">
        <f>Crowdfunding!G132</f>
        <v>successful</v>
      </c>
      <c r="B84">
        <f>Crowdfunding!H132</f>
        <v>533</v>
      </c>
      <c r="E84" t="str">
        <f>Crowdfunding!G241</f>
        <v>failed</v>
      </c>
      <c r="F84">
        <f>Crowdfunding!H241</f>
        <v>41</v>
      </c>
    </row>
    <row r="85" spans="1:6" x14ac:dyDescent="0.25">
      <c r="A85" t="str">
        <f>Crowdfunding!G133</f>
        <v>successful</v>
      </c>
      <c r="B85">
        <f>Crowdfunding!H133</f>
        <v>2443</v>
      </c>
      <c r="E85" t="str">
        <f>Crowdfunding!G252</f>
        <v>failed</v>
      </c>
      <c r="F85">
        <f>Crowdfunding!H252</f>
        <v>1</v>
      </c>
    </row>
    <row r="86" spans="1:6" x14ac:dyDescent="0.25">
      <c r="A86" t="str">
        <f>Crowdfunding!G134</f>
        <v>successful</v>
      </c>
      <c r="B86">
        <f>Crowdfunding!H134</f>
        <v>89</v>
      </c>
      <c r="E86" t="str">
        <f>Crowdfunding!G253</f>
        <v>failed</v>
      </c>
      <c r="F86">
        <f>Crowdfunding!H253</f>
        <v>101</v>
      </c>
    </row>
    <row r="87" spans="1:6" x14ac:dyDescent="0.25">
      <c r="A87" t="str">
        <f>Crowdfunding!G135</f>
        <v>successful</v>
      </c>
      <c r="B87">
        <f>Crowdfunding!H135</f>
        <v>159</v>
      </c>
      <c r="E87" t="str">
        <f>Crowdfunding!G255</f>
        <v>failed</v>
      </c>
      <c r="F87">
        <f>Crowdfunding!H255</f>
        <v>1335</v>
      </c>
    </row>
    <row r="88" spans="1:6" x14ac:dyDescent="0.25">
      <c r="A88" t="str">
        <f>Crowdfunding!G139</f>
        <v>successful</v>
      </c>
      <c r="B88">
        <f>Crowdfunding!H139</f>
        <v>50</v>
      </c>
      <c r="E88" t="str">
        <f>Crowdfunding!G258</f>
        <v>failed</v>
      </c>
      <c r="F88">
        <f>Crowdfunding!H258</f>
        <v>15</v>
      </c>
    </row>
    <row r="89" spans="1:6" x14ac:dyDescent="0.25">
      <c r="A89" t="str">
        <f>Crowdfunding!G142</f>
        <v>successful</v>
      </c>
      <c r="B89">
        <f>Crowdfunding!H142</f>
        <v>186</v>
      </c>
      <c r="E89" t="str">
        <f>Crowdfunding!G263</f>
        <v>failed</v>
      </c>
      <c r="F89">
        <f>Crowdfunding!H263</f>
        <v>454</v>
      </c>
    </row>
    <row r="90" spans="1:6" x14ac:dyDescent="0.25">
      <c r="A90" t="str">
        <f>Crowdfunding!G143</f>
        <v>successful</v>
      </c>
      <c r="B90">
        <f>Crowdfunding!H143</f>
        <v>1071</v>
      </c>
      <c r="E90" t="str">
        <f>Crowdfunding!G268</f>
        <v>failed</v>
      </c>
      <c r="F90">
        <f>Crowdfunding!H268</f>
        <v>3182</v>
      </c>
    </row>
    <row r="91" spans="1:6" x14ac:dyDescent="0.25">
      <c r="A91" t="str">
        <f>Crowdfunding!G144</f>
        <v>successful</v>
      </c>
      <c r="B91">
        <f>Crowdfunding!H144</f>
        <v>117</v>
      </c>
      <c r="E91" t="str">
        <f>Crowdfunding!G276</f>
        <v>failed</v>
      </c>
      <c r="F91">
        <f>Crowdfunding!H276</f>
        <v>15</v>
      </c>
    </row>
    <row r="92" spans="1:6" x14ac:dyDescent="0.25">
      <c r="A92" t="str">
        <f>Crowdfunding!G145</f>
        <v>successful</v>
      </c>
      <c r="B92">
        <f>Crowdfunding!H145</f>
        <v>70</v>
      </c>
      <c r="E92" t="str">
        <f>Crowdfunding!G278</f>
        <v>failed</v>
      </c>
      <c r="F92">
        <f>Crowdfunding!H278</f>
        <v>133</v>
      </c>
    </row>
    <row r="93" spans="1:6" x14ac:dyDescent="0.25">
      <c r="A93" t="str">
        <f>Crowdfunding!G146</f>
        <v>successful</v>
      </c>
      <c r="B93">
        <f>Crowdfunding!H146</f>
        <v>135</v>
      </c>
      <c r="E93" t="str">
        <f>Crowdfunding!G283</f>
        <v>failed</v>
      </c>
      <c r="F93">
        <f>Crowdfunding!H283</f>
        <v>2062</v>
      </c>
    </row>
    <row r="94" spans="1:6" x14ac:dyDescent="0.25">
      <c r="A94" t="str">
        <f>Crowdfunding!G147</f>
        <v>successful</v>
      </c>
      <c r="B94">
        <f>Crowdfunding!H147</f>
        <v>768</v>
      </c>
      <c r="E94" t="str">
        <f>Crowdfunding!G285</f>
        <v>failed</v>
      </c>
      <c r="F94">
        <f>Crowdfunding!H285</f>
        <v>29</v>
      </c>
    </row>
    <row r="95" spans="1:6" x14ac:dyDescent="0.25">
      <c r="A95" t="str">
        <f>Crowdfunding!G149</f>
        <v>successful</v>
      </c>
      <c r="B95">
        <f>Crowdfunding!H149</f>
        <v>199</v>
      </c>
      <c r="E95" t="str">
        <f>Crowdfunding!G286</f>
        <v>failed</v>
      </c>
      <c r="F95">
        <f>Crowdfunding!H286</f>
        <v>132</v>
      </c>
    </row>
    <row r="96" spans="1:6" x14ac:dyDescent="0.25">
      <c r="A96" t="str">
        <f>Crowdfunding!G150</f>
        <v>successful</v>
      </c>
      <c r="B96">
        <f>Crowdfunding!H150</f>
        <v>107</v>
      </c>
      <c r="E96" t="str">
        <f>Crowdfunding!G290</f>
        <v>failed</v>
      </c>
      <c r="F96">
        <f>Crowdfunding!H290</f>
        <v>137</v>
      </c>
    </row>
    <row r="97" spans="1:6" x14ac:dyDescent="0.25">
      <c r="A97" t="str">
        <f>Crowdfunding!G151</f>
        <v>successful</v>
      </c>
      <c r="B97">
        <f>Crowdfunding!H151</f>
        <v>195</v>
      </c>
      <c r="E97" t="str">
        <f>Crowdfunding!G292</f>
        <v>failed</v>
      </c>
      <c r="F97">
        <f>Crowdfunding!H292</f>
        <v>908</v>
      </c>
    </row>
    <row r="98" spans="1:6" x14ac:dyDescent="0.25">
      <c r="A98" t="str">
        <f>Crowdfunding!G154</f>
        <v>successful</v>
      </c>
      <c r="B98">
        <f>Crowdfunding!H154</f>
        <v>3376</v>
      </c>
      <c r="E98" t="str">
        <f>Crowdfunding!G294</f>
        <v>failed</v>
      </c>
      <c r="F98">
        <f>Crowdfunding!H294</f>
        <v>10</v>
      </c>
    </row>
    <row r="99" spans="1:6" x14ac:dyDescent="0.25">
      <c r="A99" t="str">
        <f>Crowdfunding!G160</f>
        <v>successful</v>
      </c>
      <c r="B99">
        <f>Crowdfunding!H160</f>
        <v>41</v>
      </c>
      <c r="E99" t="str">
        <f>Crowdfunding!G297</f>
        <v>failed</v>
      </c>
      <c r="F99">
        <f>Crowdfunding!H297</f>
        <v>1910</v>
      </c>
    </row>
    <row r="100" spans="1:6" x14ac:dyDescent="0.25">
      <c r="A100" t="str">
        <f>Crowdfunding!G161</f>
        <v>successful</v>
      </c>
      <c r="B100">
        <f>Crowdfunding!H161</f>
        <v>1821</v>
      </c>
      <c r="E100" t="str">
        <f>Crowdfunding!G298</f>
        <v>failed</v>
      </c>
      <c r="F100">
        <f>Crowdfunding!H298</f>
        <v>38</v>
      </c>
    </row>
    <row r="101" spans="1:6" x14ac:dyDescent="0.25">
      <c r="A101" t="str">
        <f>Crowdfunding!G162</f>
        <v>successful</v>
      </c>
      <c r="B101">
        <f>Crowdfunding!H162</f>
        <v>164</v>
      </c>
      <c r="E101" t="str">
        <f>Crowdfunding!G299</f>
        <v>failed</v>
      </c>
      <c r="F101">
        <f>Crowdfunding!H299</f>
        <v>104</v>
      </c>
    </row>
    <row r="102" spans="1:6" x14ac:dyDescent="0.25">
      <c r="A102" t="str">
        <f>Crowdfunding!G164</f>
        <v>successful</v>
      </c>
      <c r="B102">
        <f>Crowdfunding!H164</f>
        <v>157</v>
      </c>
      <c r="E102" t="str">
        <f>Crowdfunding!G301</f>
        <v>failed</v>
      </c>
      <c r="F102">
        <f>Crowdfunding!H301</f>
        <v>49</v>
      </c>
    </row>
    <row r="103" spans="1:6" x14ac:dyDescent="0.25">
      <c r="A103" t="str">
        <f>Crowdfunding!G165</f>
        <v>successful</v>
      </c>
      <c r="B103">
        <f>Crowdfunding!H165</f>
        <v>246</v>
      </c>
      <c r="E103" t="str">
        <f>Crowdfunding!G302</f>
        <v>failed</v>
      </c>
      <c r="F103">
        <f>Crowdfunding!H302</f>
        <v>1</v>
      </c>
    </row>
    <row r="104" spans="1:6" x14ac:dyDescent="0.25">
      <c r="A104" t="str">
        <f>Crowdfunding!G166</f>
        <v>successful</v>
      </c>
      <c r="B104">
        <f>Crowdfunding!H166</f>
        <v>1396</v>
      </c>
      <c r="E104" t="str">
        <f>Crowdfunding!G304</f>
        <v>failed</v>
      </c>
      <c r="F104">
        <f>Crowdfunding!H304</f>
        <v>245</v>
      </c>
    </row>
    <row r="105" spans="1:6" x14ac:dyDescent="0.25">
      <c r="A105" t="str">
        <f>Crowdfunding!G167</f>
        <v>successful</v>
      </c>
      <c r="B105">
        <f>Crowdfunding!H167</f>
        <v>2506</v>
      </c>
      <c r="E105" t="str">
        <f>Crowdfunding!G305</f>
        <v>failed</v>
      </c>
      <c r="F105">
        <f>Crowdfunding!H305</f>
        <v>32</v>
      </c>
    </row>
    <row r="106" spans="1:6" x14ac:dyDescent="0.25">
      <c r="A106" t="str">
        <f>Crowdfunding!G168</f>
        <v>successful</v>
      </c>
      <c r="B106">
        <f>Crowdfunding!H168</f>
        <v>244</v>
      </c>
      <c r="E106" t="str">
        <f>Crowdfunding!G308</f>
        <v>failed</v>
      </c>
      <c r="F106">
        <f>Crowdfunding!H308</f>
        <v>7</v>
      </c>
    </row>
    <row r="107" spans="1:6" x14ac:dyDescent="0.25">
      <c r="A107" t="str">
        <f>Crowdfunding!G169</f>
        <v>successful</v>
      </c>
      <c r="B107">
        <f>Crowdfunding!H169</f>
        <v>146</v>
      </c>
      <c r="E107" t="str">
        <f>Crowdfunding!G310</f>
        <v>failed</v>
      </c>
      <c r="F107">
        <f>Crowdfunding!H310</f>
        <v>803</v>
      </c>
    </row>
    <row r="108" spans="1:6" x14ac:dyDescent="0.25">
      <c r="A108" t="str">
        <f>Crowdfunding!G171</f>
        <v>successful</v>
      </c>
      <c r="B108">
        <f>Crowdfunding!H171</f>
        <v>1267</v>
      </c>
      <c r="E108" t="str">
        <f>Crowdfunding!G312</f>
        <v>failed</v>
      </c>
      <c r="F108">
        <f>Crowdfunding!H312</f>
        <v>16</v>
      </c>
    </row>
    <row r="109" spans="1:6" x14ac:dyDescent="0.25">
      <c r="A109" t="str">
        <f>Crowdfunding!G175</f>
        <v>successful</v>
      </c>
      <c r="B109">
        <f>Crowdfunding!H175</f>
        <v>1561</v>
      </c>
      <c r="E109" t="str">
        <f>Crowdfunding!G317</f>
        <v>failed</v>
      </c>
      <c r="F109">
        <f>Crowdfunding!H317</f>
        <v>31</v>
      </c>
    </row>
    <row r="110" spans="1:6" x14ac:dyDescent="0.25">
      <c r="A110" t="str">
        <f>Crowdfunding!G176</f>
        <v>successful</v>
      </c>
      <c r="B110">
        <f>Crowdfunding!H176</f>
        <v>48</v>
      </c>
      <c r="E110" t="str">
        <f>Crowdfunding!G318</f>
        <v>failed</v>
      </c>
      <c r="F110">
        <f>Crowdfunding!H318</f>
        <v>108</v>
      </c>
    </row>
    <row r="111" spans="1:6" x14ac:dyDescent="0.25">
      <c r="A111" t="str">
        <f>Crowdfunding!G179</f>
        <v>successful</v>
      </c>
      <c r="B111">
        <f>Crowdfunding!H179</f>
        <v>2739</v>
      </c>
      <c r="E111" t="str">
        <f>Crowdfunding!G319</f>
        <v>failed</v>
      </c>
      <c r="F111">
        <f>Crowdfunding!H319</f>
        <v>30</v>
      </c>
    </row>
    <row r="112" spans="1:6" x14ac:dyDescent="0.25">
      <c r="A112" t="str">
        <f>Crowdfunding!G181</f>
        <v>successful</v>
      </c>
      <c r="B112">
        <f>Crowdfunding!H181</f>
        <v>3537</v>
      </c>
      <c r="E112" t="str">
        <f>Crowdfunding!G320</f>
        <v>failed</v>
      </c>
      <c r="F112">
        <f>Crowdfunding!H320</f>
        <v>17</v>
      </c>
    </row>
    <row r="113" spans="1:6" x14ac:dyDescent="0.25">
      <c r="A113" t="str">
        <f>Crowdfunding!G182</f>
        <v>successful</v>
      </c>
      <c r="B113">
        <f>Crowdfunding!H182</f>
        <v>2107</v>
      </c>
      <c r="E113" t="str">
        <f>Crowdfunding!G322</f>
        <v>failed</v>
      </c>
      <c r="F113">
        <f>Crowdfunding!H322</f>
        <v>80</v>
      </c>
    </row>
    <row r="114" spans="1:6" x14ac:dyDescent="0.25">
      <c r="A114" t="str">
        <f>Crowdfunding!G184</f>
        <v>successful</v>
      </c>
      <c r="B114">
        <f>Crowdfunding!H184</f>
        <v>3318</v>
      </c>
      <c r="E114" t="str">
        <f>Crowdfunding!G323</f>
        <v>failed</v>
      </c>
      <c r="F114">
        <f>Crowdfunding!H323</f>
        <v>2468</v>
      </c>
    </row>
    <row r="115" spans="1:6" x14ac:dyDescent="0.25">
      <c r="A115" t="str">
        <f>Crowdfunding!G186</f>
        <v>successful</v>
      </c>
      <c r="B115">
        <f>Crowdfunding!H186</f>
        <v>340</v>
      </c>
      <c r="E115" t="str">
        <f>Crowdfunding!G325</f>
        <v>failed</v>
      </c>
      <c r="F115">
        <f>Crowdfunding!H325</f>
        <v>26</v>
      </c>
    </row>
    <row r="116" spans="1:6" x14ac:dyDescent="0.25">
      <c r="A116" t="str">
        <f>Crowdfunding!G189</f>
        <v>successful</v>
      </c>
      <c r="B116">
        <f>Crowdfunding!H189</f>
        <v>1442</v>
      </c>
      <c r="E116" t="str">
        <f>Crowdfunding!G327</f>
        <v>failed</v>
      </c>
      <c r="F116">
        <f>Crowdfunding!H327</f>
        <v>73</v>
      </c>
    </row>
    <row r="117" spans="1:6" x14ac:dyDescent="0.25">
      <c r="A117" t="str">
        <f>Crowdfunding!G196</f>
        <v>successful</v>
      </c>
      <c r="B117">
        <f>Crowdfunding!H196</f>
        <v>126</v>
      </c>
      <c r="E117" t="str">
        <f>Crowdfunding!G328</f>
        <v>failed</v>
      </c>
      <c r="F117">
        <f>Crowdfunding!H328</f>
        <v>128</v>
      </c>
    </row>
    <row r="118" spans="1:6" x14ac:dyDescent="0.25">
      <c r="A118" t="str">
        <f>Crowdfunding!G197</f>
        <v>successful</v>
      </c>
      <c r="B118">
        <f>Crowdfunding!H197</f>
        <v>524</v>
      </c>
      <c r="E118" t="str">
        <f>Crowdfunding!G329</f>
        <v>failed</v>
      </c>
      <c r="F118">
        <f>Crowdfunding!H329</f>
        <v>33</v>
      </c>
    </row>
    <row r="119" spans="1:6" x14ac:dyDescent="0.25">
      <c r="A119" t="str">
        <f>Crowdfunding!G199</f>
        <v>successful</v>
      </c>
      <c r="B119">
        <f>Crowdfunding!H199</f>
        <v>1989</v>
      </c>
      <c r="E119" t="str">
        <f>Crowdfunding!G338</f>
        <v>failed</v>
      </c>
      <c r="F119">
        <f>Crowdfunding!H338</f>
        <v>1072</v>
      </c>
    </row>
    <row r="120" spans="1:6" x14ac:dyDescent="0.25">
      <c r="A120" t="str">
        <f>Crowdfunding!G203</f>
        <v>successful</v>
      </c>
      <c r="B120">
        <f>Crowdfunding!H203</f>
        <v>157</v>
      </c>
      <c r="E120" t="str">
        <f>Crowdfunding!G342</f>
        <v>failed</v>
      </c>
      <c r="F120">
        <f>Crowdfunding!H342</f>
        <v>393</v>
      </c>
    </row>
    <row r="121" spans="1:6" x14ac:dyDescent="0.25">
      <c r="A121" t="str">
        <f>Crowdfunding!G205</f>
        <v>successful</v>
      </c>
      <c r="B121">
        <f>Crowdfunding!H205</f>
        <v>4498</v>
      </c>
      <c r="E121" t="str">
        <f>Crowdfunding!G343</f>
        <v>failed</v>
      </c>
      <c r="F121">
        <f>Crowdfunding!H343</f>
        <v>1257</v>
      </c>
    </row>
    <row r="122" spans="1:6" x14ac:dyDescent="0.25">
      <c r="A122" t="str">
        <f>Crowdfunding!G207</f>
        <v>successful</v>
      </c>
      <c r="B122">
        <f>Crowdfunding!H207</f>
        <v>80</v>
      </c>
      <c r="E122" t="str">
        <f>Crowdfunding!G344</f>
        <v>failed</v>
      </c>
      <c r="F122">
        <f>Crowdfunding!H344</f>
        <v>328</v>
      </c>
    </row>
    <row r="123" spans="1:6" x14ac:dyDescent="0.25">
      <c r="A123" t="str">
        <f>Crowdfunding!G209</f>
        <v>successful</v>
      </c>
      <c r="B123">
        <f>Crowdfunding!H209</f>
        <v>43</v>
      </c>
      <c r="E123" t="str">
        <f>Crowdfunding!G345</f>
        <v>failed</v>
      </c>
      <c r="F123">
        <f>Crowdfunding!H345</f>
        <v>147</v>
      </c>
    </row>
    <row r="124" spans="1:6" x14ac:dyDescent="0.25">
      <c r="A124" t="str">
        <f>Crowdfunding!G210</f>
        <v>successful</v>
      </c>
      <c r="B124">
        <f>Crowdfunding!H210</f>
        <v>2053</v>
      </c>
      <c r="E124" t="str">
        <f>Crowdfunding!G346</f>
        <v>failed</v>
      </c>
      <c r="F124">
        <f>Crowdfunding!H346</f>
        <v>830</v>
      </c>
    </row>
    <row r="125" spans="1:6" x14ac:dyDescent="0.25">
      <c r="A125" t="str">
        <f>Crowdfunding!G214</f>
        <v>successful</v>
      </c>
      <c r="B125">
        <f>Crowdfunding!H214</f>
        <v>168</v>
      </c>
      <c r="E125" t="str">
        <f>Crowdfunding!G347</f>
        <v>failed</v>
      </c>
      <c r="F125">
        <f>Crowdfunding!H347</f>
        <v>331</v>
      </c>
    </row>
    <row r="126" spans="1:6" x14ac:dyDescent="0.25">
      <c r="A126" t="str">
        <f>Crowdfunding!G215</f>
        <v>successful</v>
      </c>
      <c r="B126">
        <f>Crowdfunding!H215</f>
        <v>4289</v>
      </c>
      <c r="E126" t="str">
        <f>Crowdfunding!G348</f>
        <v>failed</v>
      </c>
      <c r="F126">
        <f>Crowdfunding!H348</f>
        <v>25</v>
      </c>
    </row>
    <row r="127" spans="1:6" x14ac:dyDescent="0.25">
      <c r="A127" t="str">
        <f>Crowdfunding!G216</f>
        <v>successful</v>
      </c>
      <c r="B127">
        <f>Crowdfunding!H216</f>
        <v>165</v>
      </c>
      <c r="E127" t="str">
        <f>Crowdfunding!G350</f>
        <v>failed</v>
      </c>
      <c r="F127">
        <f>Crowdfunding!H350</f>
        <v>3483</v>
      </c>
    </row>
    <row r="128" spans="1:6" x14ac:dyDescent="0.25">
      <c r="A128" t="str">
        <f>Crowdfunding!G218</f>
        <v>successful</v>
      </c>
      <c r="B128">
        <f>Crowdfunding!H218</f>
        <v>1815</v>
      </c>
      <c r="E128" t="str">
        <f>Crowdfunding!G351</f>
        <v>failed</v>
      </c>
      <c r="F128">
        <f>Crowdfunding!H351</f>
        <v>923</v>
      </c>
    </row>
    <row r="129" spans="1:6" x14ac:dyDescent="0.25">
      <c r="A129" t="str">
        <f>Crowdfunding!G220</f>
        <v>successful</v>
      </c>
      <c r="B129">
        <f>Crowdfunding!H220</f>
        <v>397</v>
      </c>
      <c r="E129" t="str">
        <f>Crowdfunding!G352</f>
        <v>failed</v>
      </c>
      <c r="F129">
        <f>Crowdfunding!H352</f>
        <v>1</v>
      </c>
    </row>
    <row r="130" spans="1:6" x14ac:dyDescent="0.25">
      <c r="A130" t="str">
        <f>Crowdfunding!G221</f>
        <v>successful</v>
      </c>
      <c r="B130">
        <f>Crowdfunding!H221</f>
        <v>1539</v>
      </c>
      <c r="E130" t="str">
        <f>Crowdfunding!G354</f>
        <v>failed</v>
      </c>
      <c r="F130">
        <f>Crowdfunding!H354</f>
        <v>33</v>
      </c>
    </row>
    <row r="131" spans="1:6" x14ac:dyDescent="0.25">
      <c r="A131" t="str">
        <f>Crowdfunding!G224</f>
        <v>successful</v>
      </c>
      <c r="B131">
        <f>Crowdfunding!H224</f>
        <v>138</v>
      </c>
      <c r="E131" t="str">
        <f>Crowdfunding!G358</f>
        <v>failed</v>
      </c>
      <c r="F131">
        <f>Crowdfunding!H358</f>
        <v>40</v>
      </c>
    </row>
    <row r="132" spans="1:6" x14ac:dyDescent="0.25">
      <c r="A132" t="str">
        <f>Crowdfunding!G226</f>
        <v>successful</v>
      </c>
      <c r="B132">
        <f>Crowdfunding!H226</f>
        <v>3594</v>
      </c>
      <c r="E132" t="str">
        <f>Crowdfunding!G360</f>
        <v>failed</v>
      </c>
      <c r="F132">
        <f>Crowdfunding!H360</f>
        <v>23</v>
      </c>
    </row>
    <row r="133" spans="1:6" x14ac:dyDescent="0.25">
      <c r="A133" t="str">
        <f>Crowdfunding!G227</f>
        <v>successful</v>
      </c>
      <c r="B133">
        <f>Crowdfunding!H227</f>
        <v>5880</v>
      </c>
      <c r="E133" t="str">
        <f>Crowdfunding!G369</f>
        <v>failed</v>
      </c>
      <c r="F133">
        <f>Crowdfunding!H369</f>
        <v>75</v>
      </c>
    </row>
    <row r="134" spans="1:6" x14ac:dyDescent="0.25">
      <c r="A134" t="str">
        <f>Crowdfunding!G228</f>
        <v>successful</v>
      </c>
      <c r="B134">
        <f>Crowdfunding!H228</f>
        <v>112</v>
      </c>
      <c r="E134" t="str">
        <f>Crowdfunding!G373</f>
        <v>failed</v>
      </c>
      <c r="F134">
        <f>Crowdfunding!H373</f>
        <v>2176</v>
      </c>
    </row>
    <row r="135" spans="1:6" x14ac:dyDescent="0.25">
      <c r="A135" t="str">
        <f>Crowdfunding!G229</f>
        <v>successful</v>
      </c>
      <c r="B135">
        <f>Crowdfunding!H229</f>
        <v>943</v>
      </c>
      <c r="E135" t="str">
        <f>Crowdfunding!G376</f>
        <v>failed</v>
      </c>
      <c r="F135">
        <f>Crowdfunding!H376</f>
        <v>441</v>
      </c>
    </row>
    <row r="136" spans="1:6" x14ac:dyDescent="0.25">
      <c r="A136" t="str">
        <f>Crowdfunding!G230</f>
        <v>successful</v>
      </c>
      <c r="B136">
        <f>Crowdfunding!H230</f>
        <v>2468</v>
      </c>
      <c r="E136" t="str">
        <f>Crowdfunding!G377</f>
        <v>failed</v>
      </c>
      <c r="F136">
        <f>Crowdfunding!H377</f>
        <v>25</v>
      </c>
    </row>
    <row r="137" spans="1:6" x14ac:dyDescent="0.25">
      <c r="A137" t="str">
        <f>Crowdfunding!G231</f>
        <v>successful</v>
      </c>
      <c r="B137">
        <f>Crowdfunding!H231</f>
        <v>2551</v>
      </c>
      <c r="E137" t="str">
        <f>Crowdfunding!G379</f>
        <v>failed</v>
      </c>
      <c r="F137">
        <f>Crowdfunding!H379</f>
        <v>127</v>
      </c>
    </row>
    <row r="138" spans="1:6" x14ac:dyDescent="0.25">
      <c r="A138" t="str">
        <f>Crowdfunding!G232</f>
        <v>successful</v>
      </c>
      <c r="B138">
        <f>Crowdfunding!H232</f>
        <v>101</v>
      </c>
      <c r="E138" t="str">
        <f>Crowdfunding!G380</f>
        <v>failed</v>
      </c>
      <c r="F138">
        <f>Crowdfunding!H380</f>
        <v>355</v>
      </c>
    </row>
    <row r="139" spans="1:6" x14ac:dyDescent="0.25">
      <c r="A139" t="str">
        <f>Crowdfunding!G234</f>
        <v>successful</v>
      </c>
      <c r="B139">
        <f>Crowdfunding!H234</f>
        <v>92</v>
      </c>
      <c r="E139" t="str">
        <f>Crowdfunding!G381</f>
        <v>failed</v>
      </c>
      <c r="F139">
        <f>Crowdfunding!H381</f>
        <v>44</v>
      </c>
    </row>
    <row r="140" spans="1:6" x14ac:dyDescent="0.25">
      <c r="A140" t="str">
        <f>Crowdfunding!G235</f>
        <v>successful</v>
      </c>
      <c r="B140">
        <f>Crowdfunding!H235</f>
        <v>62</v>
      </c>
      <c r="E140" t="str">
        <f>Crowdfunding!G384</f>
        <v>failed</v>
      </c>
      <c r="F140">
        <f>Crowdfunding!H384</f>
        <v>67</v>
      </c>
    </row>
    <row r="141" spans="1:6" x14ac:dyDescent="0.25">
      <c r="A141" t="str">
        <f>Crowdfunding!G236</f>
        <v>successful</v>
      </c>
      <c r="B141">
        <f>Crowdfunding!H236</f>
        <v>149</v>
      </c>
      <c r="E141" t="str">
        <f>Crowdfunding!G388</f>
        <v>failed</v>
      </c>
      <c r="F141">
        <f>Crowdfunding!H388</f>
        <v>1068</v>
      </c>
    </row>
    <row r="142" spans="1:6" x14ac:dyDescent="0.25">
      <c r="A142" t="str">
        <f>Crowdfunding!G239</f>
        <v>successful</v>
      </c>
      <c r="B142">
        <f>Crowdfunding!H239</f>
        <v>329</v>
      </c>
      <c r="E142" t="str">
        <f>Crowdfunding!G389</f>
        <v>failed</v>
      </c>
      <c r="F142">
        <f>Crowdfunding!H389</f>
        <v>424</v>
      </c>
    </row>
    <row r="143" spans="1:6" x14ac:dyDescent="0.25">
      <c r="A143" t="str">
        <f>Crowdfunding!G240</f>
        <v>successful</v>
      </c>
      <c r="B143">
        <f>Crowdfunding!H240</f>
        <v>97</v>
      </c>
      <c r="E143" t="str">
        <f>Crowdfunding!G393</f>
        <v>failed</v>
      </c>
      <c r="F143">
        <f>Crowdfunding!H393</f>
        <v>151</v>
      </c>
    </row>
    <row r="144" spans="1:6" x14ac:dyDescent="0.25">
      <c r="A144" t="str">
        <f>Crowdfunding!G242</f>
        <v>successful</v>
      </c>
      <c r="B144">
        <f>Crowdfunding!H242</f>
        <v>1784</v>
      </c>
      <c r="E144" t="str">
        <f>Crowdfunding!G394</f>
        <v>failed</v>
      </c>
      <c r="F144">
        <f>Crowdfunding!H394</f>
        <v>1608</v>
      </c>
    </row>
    <row r="145" spans="1:6" x14ac:dyDescent="0.25">
      <c r="A145" t="str">
        <f>Crowdfunding!G243</f>
        <v>successful</v>
      </c>
      <c r="B145">
        <f>Crowdfunding!H243</f>
        <v>1684</v>
      </c>
      <c r="E145" t="str">
        <f>Crowdfunding!G401</f>
        <v>failed</v>
      </c>
      <c r="F145">
        <f>Crowdfunding!H401</f>
        <v>941</v>
      </c>
    </row>
    <row r="146" spans="1:6" x14ac:dyDescent="0.25">
      <c r="A146" t="str">
        <f>Crowdfunding!G244</f>
        <v>successful</v>
      </c>
      <c r="B146">
        <f>Crowdfunding!H244</f>
        <v>250</v>
      </c>
      <c r="E146" t="str">
        <f>Crowdfunding!G402</f>
        <v>failed</v>
      </c>
      <c r="F146">
        <f>Crowdfunding!H402</f>
        <v>1</v>
      </c>
    </row>
    <row r="147" spans="1:6" x14ac:dyDescent="0.25">
      <c r="A147" t="str">
        <f>Crowdfunding!G245</f>
        <v>successful</v>
      </c>
      <c r="B147">
        <f>Crowdfunding!H245</f>
        <v>238</v>
      </c>
      <c r="E147" t="str">
        <f>Crowdfunding!G404</f>
        <v>failed</v>
      </c>
      <c r="F147">
        <f>Crowdfunding!H404</f>
        <v>40</v>
      </c>
    </row>
    <row r="148" spans="1:6" x14ac:dyDescent="0.25">
      <c r="A148" t="str">
        <f>Crowdfunding!G246</f>
        <v>successful</v>
      </c>
      <c r="B148">
        <f>Crowdfunding!H246</f>
        <v>53</v>
      </c>
      <c r="E148" t="str">
        <f>Crowdfunding!G405</f>
        <v>failed</v>
      </c>
      <c r="F148">
        <f>Crowdfunding!H405</f>
        <v>3015</v>
      </c>
    </row>
    <row r="149" spans="1:6" x14ac:dyDescent="0.25">
      <c r="A149" t="str">
        <f>Crowdfunding!G247</f>
        <v>successful</v>
      </c>
      <c r="B149">
        <f>Crowdfunding!H247</f>
        <v>214</v>
      </c>
      <c r="E149" t="str">
        <f>Crowdfunding!G407</f>
        <v>failed</v>
      </c>
      <c r="F149">
        <f>Crowdfunding!H407</f>
        <v>435</v>
      </c>
    </row>
    <row r="150" spans="1:6" x14ac:dyDescent="0.25">
      <c r="A150" t="str">
        <f>Crowdfunding!G248</f>
        <v>successful</v>
      </c>
      <c r="B150">
        <f>Crowdfunding!H248</f>
        <v>222</v>
      </c>
      <c r="E150" t="str">
        <f>Crowdfunding!G411</f>
        <v>failed</v>
      </c>
      <c r="F150">
        <f>Crowdfunding!H411</f>
        <v>714</v>
      </c>
    </row>
    <row r="151" spans="1:6" x14ac:dyDescent="0.25">
      <c r="A151" t="str">
        <f>Crowdfunding!G249</f>
        <v>successful</v>
      </c>
      <c r="B151">
        <f>Crowdfunding!H249</f>
        <v>1884</v>
      </c>
      <c r="E151" t="str">
        <f>Crowdfunding!G416</f>
        <v>failed</v>
      </c>
      <c r="F151">
        <f>Crowdfunding!H416</f>
        <v>5497</v>
      </c>
    </row>
    <row r="152" spans="1:6" x14ac:dyDescent="0.25">
      <c r="A152" t="str">
        <f>Crowdfunding!G250</f>
        <v>successful</v>
      </c>
      <c r="B152">
        <f>Crowdfunding!H250</f>
        <v>218</v>
      </c>
      <c r="E152" t="str">
        <f>Crowdfunding!G417</f>
        <v>failed</v>
      </c>
      <c r="F152">
        <f>Crowdfunding!H417</f>
        <v>418</v>
      </c>
    </row>
    <row r="153" spans="1:6" x14ac:dyDescent="0.25">
      <c r="A153" t="str">
        <f>Crowdfunding!G251</f>
        <v>successful</v>
      </c>
      <c r="B153">
        <f>Crowdfunding!H251</f>
        <v>6465</v>
      </c>
      <c r="E153" t="str">
        <f>Crowdfunding!G418</f>
        <v>failed</v>
      </c>
      <c r="F153">
        <f>Crowdfunding!H418</f>
        <v>1439</v>
      </c>
    </row>
    <row r="154" spans="1:6" x14ac:dyDescent="0.25">
      <c r="A154" t="str">
        <f>Crowdfunding!G254</f>
        <v>successful</v>
      </c>
      <c r="B154">
        <f>Crowdfunding!H254</f>
        <v>59</v>
      </c>
      <c r="E154" t="str">
        <f>Crowdfunding!G419</f>
        <v>failed</v>
      </c>
      <c r="F154">
        <f>Crowdfunding!H419</f>
        <v>15</v>
      </c>
    </row>
    <row r="155" spans="1:6" x14ac:dyDescent="0.25">
      <c r="A155" t="str">
        <f>Crowdfunding!G256</f>
        <v>successful</v>
      </c>
      <c r="B155">
        <f>Crowdfunding!H256</f>
        <v>88</v>
      </c>
      <c r="E155" t="str">
        <f>Crowdfunding!G420</f>
        <v>failed</v>
      </c>
      <c r="F155">
        <f>Crowdfunding!H420</f>
        <v>1999</v>
      </c>
    </row>
    <row r="156" spans="1:6" x14ac:dyDescent="0.25">
      <c r="A156" t="str">
        <f>Crowdfunding!G257</f>
        <v>successful</v>
      </c>
      <c r="B156">
        <f>Crowdfunding!H257</f>
        <v>1697</v>
      </c>
      <c r="E156" t="str">
        <f>Crowdfunding!G423</f>
        <v>failed</v>
      </c>
      <c r="F156">
        <f>Crowdfunding!H423</f>
        <v>118</v>
      </c>
    </row>
    <row r="157" spans="1:6" x14ac:dyDescent="0.25">
      <c r="A157" t="str">
        <f>Crowdfunding!G259</f>
        <v>successful</v>
      </c>
      <c r="B157">
        <f>Crowdfunding!H259</f>
        <v>92</v>
      </c>
      <c r="E157" t="str">
        <f>Crowdfunding!G425</f>
        <v>failed</v>
      </c>
      <c r="F157">
        <f>Crowdfunding!H425</f>
        <v>162</v>
      </c>
    </row>
    <row r="158" spans="1:6" x14ac:dyDescent="0.25">
      <c r="A158" t="str">
        <f>Crowdfunding!G260</f>
        <v>successful</v>
      </c>
      <c r="B158">
        <f>Crowdfunding!H260</f>
        <v>186</v>
      </c>
      <c r="E158" t="str">
        <f>Crowdfunding!G426</f>
        <v>failed</v>
      </c>
      <c r="F158">
        <f>Crowdfunding!H426</f>
        <v>83</v>
      </c>
    </row>
    <row r="159" spans="1:6" x14ac:dyDescent="0.25">
      <c r="A159" t="str">
        <f>Crowdfunding!G261</f>
        <v>successful</v>
      </c>
      <c r="B159">
        <f>Crowdfunding!H261</f>
        <v>138</v>
      </c>
      <c r="E159" t="str">
        <f>Crowdfunding!G430</f>
        <v>failed</v>
      </c>
      <c r="F159">
        <f>Crowdfunding!H430</f>
        <v>747</v>
      </c>
    </row>
    <row r="160" spans="1:6" x14ac:dyDescent="0.25">
      <c r="A160" t="str">
        <f>Crowdfunding!G262</f>
        <v>successful</v>
      </c>
      <c r="B160">
        <f>Crowdfunding!H262</f>
        <v>261</v>
      </c>
      <c r="E160" t="str">
        <f>Crowdfunding!G432</f>
        <v>failed</v>
      </c>
      <c r="F160">
        <f>Crowdfunding!H432</f>
        <v>84</v>
      </c>
    </row>
    <row r="161" spans="1:6" x14ac:dyDescent="0.25">
      <c r="A161" t="str">
        <f>Crowdfunding!G264</f>
        <v>successful</v>
      </c>
      <c r="B161">
        <f>Crowdfunding!H264</f>
        <v>107</v>
      </c>
      <c r="E161" t="str">
        <f>Crowdfunding!G434</f>
        <v>failed</v>
      </c>
      <c r="F161">
        <f>Crowdfunding!H434</f>
        <v>91</v>
      </c>
    </row>
    <row r="162" spans="1:6" x14ac:dyDescent="0.25">
      <c r="A162" t="str">
        <f>Crowdfunding!G265</f>
        <v>successful</v>
      </c>
      <c r="B162">
        <f>Crowdfunding!H265</f>
        <v>199</v>
      </c>
      <c r="E162" t="str">
        <f>Crowdfunding!G435</f>
        <v>failed</v>
      </c>
      <c r="F162">
        <f>Crowdfunding!H435</f>
        <v>792</v>
      </c>
    </row>
    <row r="163" spans="1:6" x14ac:dyDescent="0.25">
      <c r="A163" t="str">
        <f>Crowdfunding!G266</f>
        <v>successful</v>
      </c>
      <c r="B163">
        <f>Crowdfunding!H266</f>
        <v>5512</v>
      </c>
      <c r="E163" t="str">
        <f>Crowdfunding!G443</f>
        <v>failed</v>
      </c>
      <c r="F163">
        <f>Crowdfunding!H443</f>
        <v>32</v>
      </c>
    </row>
    <row r="164" spans="1:6" x14ac:dyDescent="0.25">
      <c r="A164" t="str">
        <f>Crowdfunding!G267</f>
        <v>successful</v>
      </c>
      <c r="B164">
        <f>Crowdfunding!H267</f>
        <v>86</v>
      </c>
      <c r="E164" t="str">
        <f>Crowdfunding!G448</f>
        <v>failed</v>
      </c>
      <c r="F164">
        <f>Crowdfunding!H448</f>
        <v>186</v>
      </c>
    </row>
    <row r="165" spans="1:6" x14ac:dyDescent="0.25">
      <c r="A165" t="str">
        <f>Crowdfunding!G269</f>
        <v>successful</v>
      </c>
      <c r="B165">
        <f>Crowdfunding!H269</f>
        <v>2768</v>
      </c>
      <c r="E165" t="str">
        <f>Crowdfunding!G450</f>
        <v>failed</v>
      </c>
      <c r="F165">
        <f>Crowdfunding!H450</f>
        <v>605</v>
      </c>
    </row>
    <row r="166" spans="1:6" x14ac:dyDescent="0.25">
      <c r="A166" t="str">
        <f>Crowdfunding!G270</f>
        <v>successful</v>
      </c>
      <c r="B166">
        <f>Crowdfunding!H270</f>
        <v>48</v>
      </c>
      <c r="E166" t="str">
        <f>Crowdfunding!G452</f>
        <v>failed</v>
      </c>
      <c r="F166">
        <f>Crowdfunding!H452</f>
        <v>1</v>
      </c>
    </row>
    <row r="167" spans="1:6" x14ac:dyDescent="0.25">
      <c r="A167" t="str">
        <f>Crowdfunding!G271</f>
        <v>successful</v>
      </c>
      <c r="B167">
        <f>Crowdfunding!H271</f>
        <v>87</v>
      </c>
      <c r="E167" t="str">
        <f>Crowdfunding!G454</f>
        <v>failed</v>
      </c>
      <c r="F167">
        <f>Crowdfunding!H454</f>
        <v>31</v>
      </c>
    </row>
    <row r="168" spans="1:6" x14ac:dyDescent="0.25">
      <c r="A168" t="str">
        <f>Crowdfunding!G274</f>
        <v>successful</v>
      </c>
      <c r="B168">
        <f>Crowdfunding!H274</f>
        <v>1894</v>
      </c>
      <c r="E168" t="str">
        <f>Crowdfunding!G455</f>
        <v>failed</v>
      </c>
      <c r="F168">
        <f>Crowdfunding!H455</f>
        <v>1181</v>
      </c>
    </row>
    <row r="169" spans="1:6" x14ac:dyDescent="0.25">
      <c r="A169" t="str">
        <f>Crowdfunding!G275</f>
        <v>successful</v>
      </c>
      <c r="B169">
        <f>Crowdfunding!H275</f>
        <v>282</v>
      </c>
      <c r="E169" t="str">
        <f>Crowdfunding!G456</f>
        <v>failed</v>
      </c>
      <c r="F169">
        <f>Crowdfunding!H456</f>
        <v>39</v>
      </c>
    </row>
    <row r="170" spans="1:6" x14ac:dyDescent="0.25">
      <c r="A170" t="str">
        <f>Crowdfunding!G277</f>
        <v>successful</v>
      </c>
      <c r="B170">
        <f>Crowdfunding!H277</f>
        <v>116</v>
      </c>
      <c r="E170" t="str">
        <f>Crowdfunding!G459</f>
        <v>failed</v>
      </c>
      <c r="F170">
        <f>Crowdfunding!H459</f>
        <v>46</v>
      </c>
    </row>
    <row r="171" spans="1:6" x14ac:dyDescent="0.25">
      <c r="A171" t="str">
        <f>Crowdfunding!G279</f>
        <v>successful</v>
      </c>
      <c r="B171">
        <f>Crowdfunding!H279</f>
        <v>83</v>
      </c>
      <c r="E171" t="str">
        <f>Crowdfunding!G461</f>
        <v>failed</v>
      </c>
      <c r="F171">
        <f>Crowdfunding!H461</f>
        <v>105</v>
      </c>
    </row>
    <row r="172" spans="1:6" x14ac:dyDescent="0.25">
      <c r="A172" t="str">
        <f>Crowdfunding!G280</f>
        <v>successful</v>
      </c>
      <c r="B172">
        <f>Crowdfunding!H280</f>
        <v>91</v>
      </c>
      <c r="E172" t="str">
        <f>Crowdfunding!G464</f>
        <v>failed</v>
      </c>
      <c r="F172">
        <f>Crowdfunding!H464</f>
        <v>535</v>
      </c>
    </row>
    <row r="173" spans="1:6" x14ac:dyDescent="0.25">
      <c r="A173" t="str">
        <f>Crowdfunding!G281</f>
        <v>successful</v>
      </c>
      <c r="B173">
        <f>Crowdfunding!H281</f>
        <v>546</v>
      </c>
      <c r="E173" t="str">
        <f>Crowdfunding!G470</f>
        <v>failed</v>
      </c>
      <c r="F173">
        <f>Crowdfunding!H470</f>
        <v>16</v>
      </c>
    </row>
    <row r="174" spans="1:6" x14ac:dyDescent="0.25">
      <c r="A174" t="str">
        <f>Crowdfunding!G282</f>
        <v>successful</v>
      </c>
      <c r="B174">
        <f>Crowdfunding!H282</f>
        <v>393</v>
      </c>
      <c r="E174" t="str">
        <f>Crowdfunding!G474</f>
        <v>failed</v>
      </c>
      <c r="F174">
        <f>Crowdfunding!H474</f>
        <v>575</v>
      </c>
    </row>
    <row r="175" spans="1:6" x14ac:dyDescent="0.25">
      <c r="A175" t="str">
        <f>Crowdfunding!G284</f>
        <v>successful</v>
      </c>
      <c r="B175">
        <f>Crowdfunding!H284</f>
        <v>133</v>
      </c>
      <c r="E175" t="str">
        <f>Crowdfunding!G478</f>
        <v>failed</v>
      </c>
      <c r="F175">
        <f>Crowdfunding!H478</f>
        <v>1120</v>
      </c>
    </row>
    <row r="176" spans="1:6" x14ac:dyDescent="0.25">
      <c r="A176" t="str">
        <f>Crowdfunding!G287</f>
        <v>successful</v>
      </c>
      <c r="B176">
        <f>Crowdfunding!H287</f>
        <v>254</v>
      </c>
      <c r="E176" t="str">
        <f>Crowdfunding!G479</f>
        <v>failed</v>
      </c>
      <c r="F176">
        <f>Crowdfunding!H479</f>
        <v>113</v>
      </c>
    </row>
    <row r="177" spans="1:6" x14ac:dyDescent="0.25">
      <c r="A177" t="str">
        <f>Crowdfunding!G289</f>
        <v>successful</v>
      </c>
      <c r="B177">
        <f>Crowdfunding!H289</f>
        <v>176</v>
      </c>
      <c r="E177" t="str">
        <f>Crowdfunding!G483</f>
        <v>failed</v>
      </c>
      <c r="F177">
        <f>Crowdfunding!H483</f>
        <v>1538</v>
      </c>
    </row>
    <row r="178" spans="1:6" x14ac:dyDescent="0.25">
      <c r="A178" t="str">
        <f>Crowdfunding!G291</f>
        <v>successful</v>
      </c>
      <c r="B178">
        <f>Crowdfunding!H291</f>
        <v>337</v>
      </c>
      <c r="E178" t="str">
        <f>Crowdfunding!G484</f>
        <v>failed</v>
      </c>
      <c r="F178">
        <f>Crowdfunding!H484</f>
        <v>9</v>
      </c>
    </row>
    <row r="179" spans="1:6" x14ac:dyDescent="0.25">
      <c r="A179" t="str">
        <f>Crowdfunding!G293</f>
        <v>successful</v>
      </c>
      <c r="B179">
        <f>Crowdfunding!H293</f>
        <v>107</v>
      </c>
      <c r="E179" t="str">
        <f>Crowdfunding!G485</f>
        <v>failed</v>
      </c>
      <c r="F179">
        <f>Crowdfunding!H485</f>
        <v>554</v>
      </c>
    </row>
    <row r="180" spans="1:6" x14ac:dyDescent="0.25">
      <c r="A180" t="str">
        <f>Crowdfunding!G296</f>
        <v>successful</v>
      </c>
      <c r="B180">
        <f>Crowdfunding!H296</f>
        <v>183</v>
      </c>
      <c r="E180" t="str">
        <f>Crowdfunding!G487</f>
        <v>failed</v>
      </c>
      <c r="F180">
        <f>Crowdfunding!H487</f>
        <v>648</v>
      </c>
    </row>
    <row r="181" spans="1:6" x14ac:dyDescent="0.25">
      <c r="A181" t="str">
        <f>Crowdfunding!G300</f>
        <v>successful</v>
      </c>
      <c r="B181">
        <f>Crowdfunding!H300</f>
        <v>72</v>
      </c>
      <c r="E181" t="str">
        <f>Crowdfunding!G488</f>
        <v>failed</v>
      </c>
      <c r="F181">
        <f>Crowdfunding!H488</f>
        <v>21</v>
      </c>
    </row>
    <row r="182" spans="1:6" x14ac:dyDescent="0.25">
      <c r="A182" t="str">
        <f>Crowdfunding!G303</f>
        <v>successful</v>
      </c>
      <c r="B182">
        <f>Crowdfunding!H303</f>
        <v>295</v>
      </c>
      <c r="E182" t="str">
        <f>Crowdfunding!G498</f>
        <v>failed</v>
      </c>
      <c r="F182">
        <f>Crowdfunding!H498</f>
        <v>54</v>
      </c>
    </row>
    <row r="183" spans="1:6" x14ac:dyDescent="0.25">
      <c r="A183" t="str">
        <f>Crowdfunding!G306</f>
        <v>successful</v>
      </c>
      <c r="B183">
        <f>Crowdfunding!H306</f>
        <v>142</v>
      </c>
      <c r="E183" t="str">
        <f>Crowdfunding!G499</f>
        <v>failed</v>
      </c>
      <c r="F183">
        <f>Crowdfunding!H499</f>
        <v>120</v>
      </c>
    </row>
    <row r="184" spans="1:6" x14ac:dyDescent="0.25">
      <c r="A184" t="str">
        <f>Crowdfunding!G307</f>
        <v>successful</v>
      </c>
      <c r="B184">
        <f>Crowdfunding!H307</f>
        <v>85</v>
      </c>
      <c r="E184" t="str">
        <f>Crowdfunding!G500</f>
        <v>failed</v>
      </c>
      <c r="F184">
        <f>Crowdfunding!H500</f>
        <v>579</v>
      </c>
    </row>
    <row r="185" spans="1:6" x14ac:dyDescent="0.25">
      <c r="A185" t="str">
        <f>Crowdfunding!G309</f>
        <v>successful</v>
      </c>
      <c r="B185">
        <f>Crowdfunding!H309</f>
        <v>659</v>
      </c>
      <c r="E185" t="str">
        <f>Crowdfunding!G501</f>
        <v>failed</v>
      </c>
      <c r="F185">
        <f>Crowdfunding!H501</f>
        <v>2072</v>
      </c>
    </row>
    <row r="186" spans="1:6" x14ac:dyDescent="0.25">
      <c r="A186" t="str">
        <f>Crowdfunding!G313</f>
        <v>successful</v>
      </c>
      <c r="B186">
        <f>Crowdfunding!H313</f>
        <v>121</v>
      </c>
      <c r="E186" t="str">
        <f>Crowdfunding!G502</f>
        <v>failed</v>
      </c>
      <c r="F186">
        <f>Crowdfunding!H502</f>
        <v>0</v>
      </c>
    </row>
    <row r="187" spans="1:6" x14ac:dyDescent="0.25">
      <c r="A187" t="str">
        <f>Crowdfunding!G314</f>
        <v>successful</v>
      </c>
      <c r="B187">
        <f>Crowdfunding!H314</f>
        <v>3742</v>
      </c>
      <c r="E187" t="str">
        <f>Crowdfunding!G503</f>
        <v>failed</v>
      </c>
      <c r="F187">
        <f>Crowdfunding!H503</f>
        <v>1796</v>
      </c>
    </row>
    <row r="188" spans="1:6" x14ac:dyDescent="0.25">
      <c r="A188" t="str">
        <f>Crowdfunding!G315</f>
        <v>successful</v>
      </c>
      <c r="B188">
        <f>Crowdfunding!H315</f>
        <v>223</v>
      </c>
      <c r="E188" t="str">
        <f>Crowdfunding!G506</f>
        <v>failed</v>
      </c>
      <c r="F188">
        <f>Crowdfunding!H506</f>
        <v>62</v>
      </c>
    </row>
    <row r="189" spans="1:6" x14ac:dyDescent="0.25">
      <c r="A189" t="str">
        <f>Crowdfunding!G316</f>
        <v>successful</v>
      </c>
      <c r="B189">
        <f>Crowdfunding!H316</f>
        <v>133</v>
      </c>
      <c r="E189" t="str">
        <f>Crowdfunding!G507</f>
        <v>failed</v>
      </c>
      <c r="F189">
        <f>Crowdfunding!H507</f>
        <v>347</v>
      </c>
    </row>
    <row r="190" spans="1:6" x14ac:dyDescent="0.25">
      <c r="A190" t="str">
        <f>Crowdfunding!G324</f>
        <v>successful</v>
      </c>
      <c r="B190">
        <f>Crowdfunding!H324</f>
        <v>5168</v>
      </c>
      <c r="E190" t="str">
        <f>Crowdfunding!G509</f>
        <v>failed</v>
      </c>
      <c r="F190">
        <f>Crowdfunding!H509</f>
        <v>19</v>
      </c>
    </row>
    <row r="191" spans="1:6" x14ac:dyDescent="0.25">
      <c r="A191" t="str">
        <f>Crowdfunding!G326</f>
        <v>successful</v>
      </c>
      <c r="B191">
        <f>Crowdfunding!H326</f>
        <v>307</v>
      </c>
      <c r="E191" t="str">
        <f>Crowdfunding!G511</f>
        <v>failed</v>
      </c>
      <c r="F191">
        <f>Crowdfunding!H511</f>
        <v>1258</v>
      </c>
    </row>
    <row r="192" spans="1:6" x14ac:dyDescent="0.25">
      <c r="A192" t="str">
        <f>Crowdfunding!G330</f>
        <v>successful</v>
      </c>
      <c r="B192">
        <f>Crowdfunding!H330</f>
        <v>2441</v>
      </c>
      <c r="E192" t="str">
        <f>Crowdfunding!G513</f>
        <v>failed</v>
      </c>
      <c r="F192">
        <f>Crowdfunding!H513</f>
        <v>362</v>
      </c>
    </row>
    <row r="193" spans="1:6" x14ac:dyDescent="0.25">
      <c r="A193" t="str">
        <f>Crowdfunding!G332</f>
        <v>successful</v>
      </c>
      <c r="B193">
        <f>Crowdfunding!H332</f>
        <v>1385</v>
      </c>
      <c r="E193" t="str">
        <f>Crowdfunding!G517</f>
        <v>failed</v>
      </c>
      <c r="F193">
        <f>Crowdfunding!H517</f>
        <v>133</v>
      </c>
    </row>
    <row r="194" spans="1:6" x14ac:dyDescent="0.25">
      <c r="A194" t="str">
        <f>Crowdfunding!G333</f>
        <v>successful</v>
      </c>
      <c r="B194">
        <f>Crowdfunding!H333</f>
        <v>190</v>
      </c>
      <c r="E194" t="str">
        <f>Crowdfunding!G518</f>
        <v>failed</v>
      </c>
      <c r="F194">
        <f>Crowdfunding!H518</f>
        <v>846</v>
      </c>
    </row>
    <row r="195" spans="1:6" x14ac:dyDescent="0.25">
      <c r="A195" t="str">
        <f>Crowdfunding!G334</f>
        <v>successful</v>
      </c>
      <c r="B195">
        <f>Crowdfunding!H334</f>
        <v>470</v>
      </c>
      <c r="E195" t="str">
        <f>Crowdfunding!G520</f>
        <v>failed</v>
      </c>
      <c r="F195">
        <f>Crowdfunding!H520</f>
        <v>10</v>
      </c>
    </row>
    <row r="196" spans="1:6" x14ac:dyDescent="0.25">
      <c r="A196" t="str">
        <f>Crowdfunding!G335</f>
        <v>successful</v>
      </c>
      <c r="B196">
        <f>Crowdfunding!H335</f>
        <v>253</v>
      </c>
      <c r="E196" t="str">
        <f>Crowdfunding!G524</f>
        <v>failed</v>
      </c>
      <c r="F196">
        <f>Crowdfunding!H524</f>
        <v>191</v>
      </c>
    </row>
    <row r="197" spans="1:6" x14ac:dyDescent="0.25">
      <c r="A197" t="str">
        <f>Crowdfunding!G336</f>
        <v>successful</v>
      </c>
      <c r="B197">
        <f>Crowdfunding!H336</f>
        <v>1113</v>
      </c>
      <c r="E197" t="str">
        <f>Crowdfunding!G526</f>
        <v>failed</v>
      </c>
      <c r="F197">
        <f>Crowdfunding!H526</f>
        <v>1979</v>
      </c>
    </row>
    <row r="198" spans="1:6" x14ac:dyDescent="0.25">
      <c r="A198" t="str">
        <f>Crowdfunding!G337</f>
        <v>successful</v>
      </c>
      <c r="B198">
        <f>Crowdfunding!H337</f>
        <v>2283</v>
      </c>
      <c r="E198" t="str">
        <f>Crowdfunding!G527</f>
        <v>failed</v>
      </c>
      <c r="F198">
        <f>Crowdfunding!H527</f>
        <v>63</v>
      </c>
    </row>
    <row r="199" spans="1:6" x14ac:dyDescent="0.25">
      <c r="A199" t="str">
        <f>Crowdfunding!G339</f>
        <v>successful</v>
      </c>
      <c r="B199">
        <f>Crowdfunding!H339</f>
        <v>1095</v>
      </c>
      <c r="E199" t="str">
        <f>Crowdfunding!G529</f>
        <v>failed</v>
      </c>
      <c r="F199">
        <f>Crowdfunding!H529</f>
        <v>6080</v>
      </c>
    </row>
    <row r="200" spans="1:6" x14ac:dyDescent="0.25">
      <c r="A200" t="str">
        <f>Crowdfunding!G340</f>
        <v>successful</v>
      </c>
      <c r="B200">
        <f>Crowdfunding!H340</f>
        <v>1690</v>
      </c>
      <c r="E200" t="str">
        <f>Crowdfunding!G530</f>
        <v>failed</v>
      </c>
      <c r="F200">
        <f>Crowdfunding!H530</f>
        <v>80</v>
      </c>
    </row>
    <row r="201" spans="1:6" x14ac:dyDescent="0.25">
      <c r="A201" t="str">
        <f>Crowdfunding!G349</f>
        <v>successful</v>
      </c>
      <c r="B201">
        <f>Crowdfunding!H349</f>
        <v>191</v>
      </c>
      <c r="E201" t="str">
        <f>Crowdfunding!G531</f>
        <v>failed</v>
      </c>
      <c r="F201">
        <f>Crowdfunding!H531</f>
        <v>9</v>
      </c>
    </row>
    <row r="202" spans="1:6" x14ac:dyDescent="0.25">
      <c r="A202" t="str">
        <f>Crowdfunding!G353</f>
        <v>successful</v>
      </c>
      <c r="B202">
        <f>Crowdfunding!H353</f>
        <v>2013</v>
      </c>
      <c r="E202" t="str">
        <f>Crowdfunding!G532</f>
        <v>failed</v>
      </c>
      <c r="F202">
        <f>Crowdfunding!H532</f>
        <v>1784</v>
      </c>
    </row>
    <row r="203" spans="1:6" x14ac:dyDescent="0.25">
      <c r="A203" t="str">
        <f>Crowdfunding!G355</f>
        <v>successful</v>
      </c>
      <c r="B203">
        <f>Crowdfunding!H355</f>
        <v>1703</v>
      </c>
      <c r="E203" t="str">
        <f>Crowdfunding!G536</f>
        <v>failed</v>
      </c>
      <c r="F203">
        <f>Crowdfunding!H536</f>
        <v>243</v>
      </c>
    </row>
    <row r="204" spans="1:6" x14ac:dyDescent="0.25">
      <c r="A204" t="str">
        <f>Crowdfunding!G356</f>
        <v>successful</v>
      </c>
      <c r="B204">
        <f>Crowdfunding!H356</f>
        <v>80</v>
      </c>
      <c r="E204" t="str">
        <f>Crowdfunding!G540</f>
        <v>failed</v>
      </c>
      <c r="F204">
        <f>Crowdfunding!H540</f>
        <v>1296</v>
      </c>
    </row>
    <row r="205" spans="1:6" x14ac:dyDescent="0.25">
      <c r="A205" t="str">
        <f>Crowdfunding!G359</f>
        <v>successful</v>
      </c>
      <c r="B205">
        <f>Crowdfunding!H359</f>
        <v>41</v>
      </c>
      <c r="E205" t="str">
        <f>Crowdfunding!G541</f>
        <v>failed</v>
      </c>
      <c r="F205">
        <f>Crowdfunding!H541</f>
        <v>77</v>
      </c>
    </row>
    <row r="206" spans="1:6" x14ac:dyDescent="0.25">
      <c r="A206" t="str">
        <f>Crowdfunding!G361</f>
        <v>successful</v>
      </c>
      <c r="B206">
        <f>Crowdfunding!H361</f>
        <v>187</v>
      </c>
      <c r="E206" t="str">
        <f>Crowdfunding!G543</f>
        <v>failed</v>
      </c>
      <c r="F206">
        <f>Crowdfunding!H543</f>
        <v>395</v>
      </c>
    </row>
    <row r="207" spans="1:6" x14ac:dyDescent="0.25">
      <c r="A207" t="str">
        <f>Crowdfunding!G362</f>
        <v>successful</v>
      </c>
      <c r="B207">
        <f>Crowdfunding!H362</f>
        <v>2875</v>
      </c>
      <c r="E207" t="str">
        <f>Crowdfunding!G544</f>
        <v>failed</v>
      </c>
      <c r="F207">
        <f>Crowdfunding!H544</f>
        <v>49</v>
      </c>
    </row>
    <row r="208" spans="1:6" x14ac:dyDescent="0.25">
      <c r="A208" t="str">
        <f>Crowdfunding!G363</f>
        <v>successful</v>
      </c>
      <c r="B208">
        <f>Crowdfunding!H363</f>
        <v>88</v>
      </c>
      <c r="E208" t="str">
        <f>Crowdfunding!G545</f>
        <v>failed</v>
      </c>
      <c r="F208">
        <f>Crowdfunding!H545</f>
        <v>180</v>
      </c>
    </row>
    <row r="209" spans="1:6" x14ac:dyDescent="0.25">
      <c r="A209" t="str">
        <f>Crowdfunding!G364</f>
        <v>successful</v>
      </c>
      <c r="B209">
        <f>Crowdfunding!H364</f>
        <v>191</v>
      </c>
      <c r="E209" t="str">
        <f>Crowdfunding!G547</f>
        <v>failed</v>
      </c>
      <c r="F209">
        <f>Crowdfunding!H547</f>
        <v>2690</v>
      </c>
    </row>
    <row r="210" spans="1:6" x14ac:dyDescent="0.25">
      <c r="A210" t="str">
        <f>Crowdfunding!G365</f>
        <v>successful</v>
      </c>
      <c r="B210">
        <f>Crowdfunding!H365</f>
        <v>139</v>
      </c>
      <c r="E210" t="str">
        <f>Crowdfunding!G553</f>
        <v>failed</v>
      </c>
      <c r="F210">
        <f>Crowdfunding!H553</f>
        <v>2779</v>
      </c>
    </row>
    <row r="211" spans="1:6" x14ac:dyDescent="0.25">
      <c r="A211" t="str">
        <f>Crowdfunding!G366</f>
        <v>successful</v>
      </c>
      <c r="B211">
        <f>Crowdfunding!H366</f>
        <v>186</v>
      </c>
      <c r="E211" t="str">
        <f>Crowdfunding!G554</f>
        <v>failed</v>
      </c>
      <c r="F211">
        <f>Crowdfunding!H554</f>
        <v>92</v>
      </c>
    </row>
    <row r="212" spans="1:6" x14ac:dyDescent="0.25">
      <c r="A212" t="str">
        <f>Crowdfunding!G367</f>
        <v>successful</v>
      </c>
      <c r="B212">
        <f>Crowdfunding!H367</f>
        <v>112</v>
      </c>
      <c r="E212" t="str">
        <f>Crowdfunding!G555</f>
        <v>failed</v>
      </c>
      <c r="F212">
        <f>Crowdfunding!H555</f>
        <v>1028</v>
      </c>
    </row>
    <row r="213" spans="1:6" x14ac:dyDescent="0.25">
      <c r="A213" t="str">
        <f>Crowdfunding!G368</f>
        <v>successful</v>
      </c>
      <c r="B213">
        <f>Crowdfunding!H368</f>
        <v>101</v>
      </c>
      <c r="E213" t="str">
        <f>Crowdfunding!G564</f>
        <v>failed</v>
      </c>
      <c r="F213">
        <f>Crowdfunding!H564</f>
        <v>26</v>
      </c>
    </row>
    <row r="214" spans="1:6" x14ac:dyDescent="0.25">
      <c r="A214" t="str">
        <f>Crowdfunding!G370</f>
        <v>successful</v>
      </c>
      <c r="B214">
        <f>Crowdfunding!H370</f>
        <v>206</v>
      </c>
      <c r="E214" t="str">
        <f>Crowdfunding!G566</f>
        <v>failed</v>
      </c>
      <c r="F214">
        <f>Crowdfunding!H566</f>
        <v>1790</v>
      </c>
    </row>
    <row r="215" spans="1:6" x14ac:dyDescent="0.25">
      <c r="A215" t="str">
        <f>Crowdfunding!G371</f>
        <v>successful</v>
      </c>
      <c r="B215">
        <f>Crowdfunding!H371</f>
        <v>154</v>
      </c>
      <c r="E215" t="str">
        <f>Crowdfunding!G568</f>
        <v>failed</v>
      </c>
      <c r="F215">
        <f>Crowdfunding!H568</f>
        <v>37</v>
      </c>
    </row>
    <row r="216" spans="1:6" x14ac:dyDescent="0.25">
      <c r="A216" t="str">
        <f>Crowdfunding!G372</f>
        <v>successful</v>
      </c>
      <c r="B216">
        <f>Crowdfunding!H372</f>
        <v>5966</v>
      </c>
      <c r="E216" t="str">
        <f>Crowdfunding!G573</f>
        <v>failed</v>
      </c>
      <c r="F216">
        <f>Crowdfunding!H573</f>
        <v>35</v>
      </c>
    </row>
    <row r="217" spans="1:6" x14ac:dyDescent="0.25">
      <c r="A217" t="str">
        <f>Crowdfunding!G374</f>
        <v>successful</v>
      </c>
      <c r="B217">
        <f>Crowdfunding!H374</f>
        <v>169</v>
      </c>
      <c r="E217" t="str">
        <f>Crowdfunding!G577</f>
        <v>failed</v>
      </c>
      <c r="F217">
        <f>Crowdfunding!H577</f>
        <v>558</v>
      </c>
    </row>
    <row r="218" spans="1:6" x14ac:dyDescent="0.25">
      <c r="A218" t="str">
        <f>Crowdfunding!G375</f>
        <v>successful</v>
      </c>
      <c r="B218">
        <f>Crowdfunding!H375</f>
        <v>2106</v>
      </c>
      <c r="E218" t="str">
        <f>Crowdfunding!G578</f>
        <v>failed</v>
      </c>
      <c r="F218">
        <f>Crowdfunding!H578</f>
        <v>64</v>
      </c>
    </row>
    <row r="219" spans="1:6" x14ac:dyDescent="0.25">
      <c r="A219" t="str">
        <f>Crowdfunding!G378</f>
        <v>successful</v>
      </c>
      <c r="B219">
        <f>Crowdfunding!H378</f>
        <v>131</v>
      </c>
      <c r="E219" t="str">
        <f>Crowdfunding!G580</f>
        <v>failed</v>
      </c>
      <c r="F219">
        <f>Crowdfunding!H580</f>
        <v>245</v>
      </c>
    </row>
    <row r="220" spans="1:6" x14ac:dyDescent="0.25">
      <c r="A220" t="str">
        <f>Crowdfunding!G382</f>
        <v>successful</v>
      </c>
      <c r="B220">
        <f>Crowdfunding!H382</f>
        <v>84</v>
      </c>
      <c r="E220" t="str">
        <f>Crowdfunding!G583</f>
        <v>failed</v>
      </c>
      <c r="F220">
        <f>Crowdfunding!H583</f>
        <v>71</v>
      </c>
    </row>
    <row r="221" spans="1:6" x14ac:dyDescent="0.25">
      <c r="A221" t="str">
        <f>Crowdfunding!G383</f>
        <v>successful</v>
      </c>
      <c r="B221">
        <f>Crowdfunding!H383</f>
        <v>155</v>
      </c>
      <c r="E221" t="str">
        <f>Crowdfunding!G584</f>
        <v>failed</v>
      </c>
      <c r="F221">
        <f>Crowdfunding!H584</f>
        <v>42</v>
      </c>
    </row>
    <row r="222" spans="1:6" x14ac:dyDescent="0.25">
      <c r="A222" t="str">
        <f>Crowdfunding!G385</f>
        <v>successful</v>
      </c>
      <c r="B222">
        <f>Crowdfunding!H385</f>
        <v>189</v>
      </c>
      <c r="E222" t="str">
        <f>Crowdfunding!G589</f>
        <v>failed</v>
      </c>
      <c r="F222">
        <f>Crowdfunding!H589</f>
        <v>156</v>
      </c>
    </row>
    <row r="223" spans="1:6" x14ac:dyDescent="0.25">
      <c r="A223" t="str">
        <f>Crowdfunding!G386</f>
        <v>successful</v>
      </c>
      <c r="B223">
        <f>Crowdfunding!H386</f>
        <v>4799</v>
      </c>
      <c r="E223" t="str">
        <f>Crowdfunding!G590</f>
        <v>failed</v>
      </c>
      <c r="F223">
        <f>Crowdfunding!H590</f>
        <v>1368</v>
      </c>
    </row>
    <row r="224" spans="1:6" x14ac:dyDescent="0.25">
      <c r="A224" t="str">
        <f>Crowdfunding!G387</f>
        <v>successful</v>
      </c>
      <c r="B224">
        <f>Crowdfunding!H387</f>
        <v>1137</v>
      </c>
      <c r="E224" t="str">
        <f>Crowdfunding!G591</f>
        <v>failed</v>
      </c>
      <c r="F224">
        <f>Crowdfunding!H591</f>
        <v>102</v>
      </c>
    </row>
    <row r="225" spans="1:6" x14ac:dyDescent="0.25">
      <c r="A225" t="str">
        <f>Crowdfunding!G391</f>
        <v>successful</v>
      </c>
      <c r="B225">
        <f>Crowdfunding!H391</f>
        <v>1152</v>
      </c>
      <c r="E225" t="str">
        <f>Crowdfunding!G592</f>
        <v>failed</v>
      </c>
      <c r="F225">
        <f>Crowdfunding!H592</f>
        <v>86</v>
      </c>
    </row>
    <row r="226" spans="1:6" x14ac:dyDescent="0.25">
      <c r="A226" t="str">
        <f>Crowdfunding!G392</f>
        <v>successful</v>
      </c>
      <c r="B226">
        <f>Crowdfunding!H392</f>
        <v>50</v>
      </c>
      <c r="E226" t="str">
        <f>Crowdfunding!G594</f>
        <v>failed</v>
      </c>
      <c r="F226">
        <f>Crowdfunding!H594</f>
        <v>253</v>
      </c>
    </row>
    <row r="227" spans="1:6" x14ac:dyDescent="0.25">
      <c r="A227" t="str">
        <f>Crowdfunding!G395</f>
        <v>successful</v>
      </c>
      <c r="B227">
        <f>Crowdfunding!H395</f>
        <v>3059</v>
      </c>
      <c r="E227" t="str">
        <f>Crowdfunding!G596</f>
        <v>failed</v>
      </c>
      <c r="F227">
        <f>Crowdfunding!H596</f>
        <v>157</v>
      </c>
    </row>
    <row r="228" spans="1:6" x14ac:dyDescent="0.25">
      <c r="A228" t="str">
        <f>Crowdfunding!G396</f>
        <v>successful</v>
      </c>
      <c r="B228">
        <f>Crowdfunding!H396</f>
        <v>34</v>
      </c>
      <c r="E228" t="str">
        <f>Crowdfunding!G598</f>
        <v>failed</v>
      </c>
      <c r="F228">
        <f>Crowdfunding!H598</f>
        <v>183</v>
      </c>
    </row>
    <row r="229" spans="1:6" x14ac:dyDescent="0.25">
      <c r="A229" t="str">
        <f>Crowdfunding!G397</f>
        <v>successful</v>
      </c>
      <c r="B229">
        <f>Crowdfunding!H397</f>
        <v>220</v>
      </c>
      <c r="E229" t="str">
        <f>Crowdfunding!G601</f>
        <v>failed</v>
      </c>
      <c r="F229">
        <f>Crowdfunding!H601</f>
        <v>82</v>
      </c>
    </row>
    <row r="230" spans="1:6" x14ac:dyDescent="0.25">
      <c r="A230" t="str">
        <f>Crowdfunding!G398</f>
        <v>successful</v>
      </c>
      <c r="B230">
        <f>Crowdfunding!H398</f>
        <v>1604</v>
      </c>
      <c r="E230" t="str">
        <f>Crowdfunding!G602</f>
        <v>failed</v>
      </c>
      <c r="F230">
        <f>Crowdfunding!H602</f>
        <v>1</v>
      </c>
    </row>
    <row r="231" spans="1:6" x14ac:dyDescent="0.25">
      <c r="A231" t="str">
        <f>Crowdfunding!G399</f>
        <v>successful</v>
      </c>
      <c r="B231">
        <f>Crowdfunding!H399</f>
        <v>454</v>
      </c>
      <c r="E231" t="str">
        <f>Crowdfunding!G620</f>
        <v>failed</v>
      </c>
      <c r="F231">
        <f>Crowdfunding!H620</f>
        <v>1198</v>
      </c>
    </row>
    <row r="232" spans="1:6" x14ac:dyDescent="0.25">
      <c r="A232" t="str">
        <f>Crowdfunding!G400</f>
        <v>successful</v>
      </c>
      <c r="B232">
        <f>Crowdfunding!H400</f>
        <v>123</v>
      </c>
      <c r="E232" t="str">
        <f>Crowdfunding!G621</f>
        <v>failed</v>
      </c>
      <c r="F232">
        <f>Crowdfunding!H621</f>
        <v>648</v>
      </c>
    </row>
    <row r="233" spans="1:6" x14ac:dyDescent="0.25">
      <c r="A233" t="str">
        <f>Crowdfunding!G403</f>
        <v>successful</v>
      </c>
      <c r="B233">
        <f>Crowdfunding!H403</f>
        <v>299</v>
      </c>
      <c r="E233" t="str">
        <f>Crowdfunding!G624</f>
        <v>failed</v>
      </c>
      <c r="F233">
        <f>Crowdfunding!H624</f>
        <v>64</v>
      </c>
    </row>
    <row r="234" spans="1:6" x14ac:dyDescent="0.25">
      <c r="A234" t="str">
        <f>Crowdfunding!G406</f>
        <v>successful</v>
      </c>
      <c r="B234">
        <f>Crowdfunding!H406</f>
        <v>2237</v>
      </c>
      <c r="E234" t="str">
        <f>Crowdfunding!G627</f>
        <v>failed</v>
      </c>
      <c r="F234">
        <f>Crowdfunding!H627</f>
        <v>62</v>
      </c>
    </row>
    <row r="235" spans="1:6" x14ac:dyDescent="0.25">
      <c r="A235" t="str">
        <f>Crowdfunding!G408</f>
        <v>successful</v>
      </c>
      <c r="B235">
        <f>Crowdfunding!H408</f>
        <v>645</v>
      </c>
      <c r="E235" t="str">
        <f>Crowdfunding!G631</f>
        <v>failed</v>
      </c>
      <c r="F235">
        <f>Crowdfunding!H631</f>
        <v>750</v>
      </c>
    </row>
    <row r="236" spans="1:6" x14ac:dyDescent="0.25">
      <c r="A236" t="str">
        <f>Crowdfunding!G409</f>
        <v>successful</v>
      </c>
      <c r="B236">
        <f>Crowdfunding!H409</f>
        <v>484</v>
      </c>
      <c r="E236" t="str">
        <f>Crowdfunding!G635</f>
        <v>failed</v>
      </c>
      <c r="F236">
        <f>Crowdfunding!H635</f>
        <v>105</v>
      </c>
    </row>
    <row r="237" spans="1:6" x14ac:dyDescent="0.25">
      <c r="A237" t="str">
        <f>Crowdfunding!G410</f>
        <v>successful</v>
      </c>
      <c r="B237">
        <f>Crowdfunding!H410</f>
        <v>154</v>
      </c>
      <c r="E237" t="str">
        <f>Crowdfunding!G638</f>
        <v>failed</v>
      </c>
      <c r="F237">
        <f>Crowdfunding!H638</f>
        <v>2604</v>
      </c>
    </row>
    <row r="238" spans="1:6" x14ac:dyDescent="0.25">
      <c r="A238" t="str">
        <f>Crowdfunding!G413</f>
        <v>successful</v>
      </c>
      <c r="B238">
        <f>Crowdfunding!H413</f>
        <v>82</v>
      </c>
      <c r="E238" t="str">
        <f>Crowdfunding!G639</f>
        <v>failed</v>
      </c>
      <c r="F238">
        <f>Crowdfunding!H639</f>
        <v>65</v>
      </c>
    </row>
    <row r="239" spans="1:6" x14ac:dyDescent="0.25">
      <c r="A239" t="str">
        <f>Crowdfunding!G414</f>
        <v>successful</v>
      </c>
      <c r="B239">
        <f>Crowdfunding!H414</f>
        <v>134</v>
      </c>
      <c r="E239" t="str">
        <f>Crowdfunding!G640</f>
        <v>failed</v>
      </c>
      <c r="F239">
        <f>Crowdfunding!H640</f>
        <v>94</v>
      </c>
    </row>
    <row r="240" spans="1:6" x14ac:dyDescent="0.25">
      <c r="A240" t="str">
        <f>Crowdfunding!G421</f>
        <v>successful</v>
      </c>
      <c r="B240">
        <f>Crowdfunding!H421</f>
        <v>5203</v>
      </c>
      <c r="E240" t="str">
        <f>Crowdfunding!G642</f>
        <v>failed</v>
      </c>
      <c r="F240">
        <f>Crowdfunding!H642</f>
        <v>257</v>
      </c>
    </row>
    <row r="241" spans="1:6" x14ac:dyDescent="0.25">
      <c r="A241" t="str">
        <f>Crowdfunding!G422</f>
        <v>successful</v>
      </c>
      <c r="B241">
        <f>Crowdfunding!H422</f>
        <v>94</v>
      </c>
      <c r="E241" t="str">
        <f>Crowdfunding!G646</f>
        <v>failed</v>
      </c>
      <c r="F241">
        <f>Crowdfunding!H646</f>
        <v>2928</v>
      </c>
    </row>
    <row r="242" spans="1:6" x14ac:dyDescent="0.25">
      <c r="A242" t="str">
        <f>Crowdfunding!G424</f>
        <v>successful</v>
      </c>
      <c r="B242">
        <f>Crowdfunding!H424</f>
        <v>205</v>
      </c>
      <c r="E242" t="str">
        <f>Crowdfunding!G647</f>
        <v>failed</v>
      </c>
      <c r="F242">
        <f>Crowdfunding!H647</f>
        <v>4697</v>
      </c>
    </row>
    <row r="243" spans="1:6" x14ac:dyDescent="0.25">
      <c r="A243" t="str">
        <f>Crowdfunding!G427</f>
        <v>successful</v>
      </c>
      <c r="B243">
        <f>Crowdfunding!H427</f>
        <v>92</v>
      </c>
      <c r="E243" t="str">
        <f>Crowdfunding!G648</f>
        <v>failed</v>
      </c>
      <c r="F243">
        <f>Crowdfunding!H648</f>
        <v>2915</v>
      </c>
    </row>
    <row r="244" spans="1:6" x14ac:dyDescent="0.25">
      <c r="A244" t="str">
        <f>Crowdfunding!G428</f>
        <v>successful</v>
      </c>
      <c r="B244">
        <f>Crowdfunding!H428</f>
        <v>219</v>
      </c>
      <c r="E244" t="str">
        <f>Crowdfunding!G649</f>
        <v>failed</v>
      </c>
      <c r="F244">
        <f>Crowdfunding!H649</f>
        <v>18</v>
      </c>
    </row>
    <row r="245" spans="1:6" x14ac:dyDescent="0.25">
      <c r="A245" t="str">
        <f>Crowdfunding!G429</f>
        <v>successful</v>
      </c>
      <c r="B245">
        <f>Crowdfunding!H429</f>
        <v>2526</v>
      </c>
      <c r="E245" t="str">
        <f>Crowdfunding!G651</f>
        <v>failed</v>
      </c>
      <c r="F245">
        <f>Crowdfunding!H651</f>
        <v>602</v>
      </c>
    </row>
    <row r="246" spans="1:6" x14ac:dyDescent="0.25">
      <c r="A246" t="str">
        <f>Crowdfunding!G433</f>
        <v>successful</v>
      </c>
      <c r="B246">
        <f>Crowdfunding!H433</f>
        <v>94</v>
      </c>
      <c r="E246" t="str">
        <f>Crowdfunding!G652</f>
        <v>failed</v>
      </c>
      <c r="F246">
        <f>Crowdfunding!H652</f>
        <v>1</v>
      </c>
    </row>
    <row r="247" spans="1:6" x14ac:dyDescent="0.25">
      <c r="A247" t="str">
        <f>Crowdfunding!G437</f>
        <v>successful</v>
      </c>
      <c r="B247">
        <f>Crowdfunding!H437</f>
        <v>1713</v>
      </c>
      <c r="E247" t="str">
        <f>Crowdfunding!G653</f>
        <v>failed</v>
      </c>
      <c r="F247">
        <f>Crowdfunding!H653</f>
        <v>3868</v>
      </c>
    </row>
    <row r="248" spans="1:6" x14ac:dyDescent="0.25">
      <c r="A248" t="str">
        <f>Crowdfunding!G438</f>
        <v>successful</v>
      </c>
      <c r="B248">
        <f>Crowdfunding!H438</f>
        <v>249</v>
      </c>
      <c r="E248" t="str">
        <f>Crowdfunding!G658</f>
        <v>failed</v>
      </c>
      <c r="F248">
        <f>Crowdfunding!H658</f>
        <v>504</v>
      </c>
    </row>
    <row r="249" spans="1:6" x14ac:dyDescent="0.25">
      <c r="A249" t="str">
        <f>Crowdfunding!G439</f>
        <v>successful</v>
      </c>
      <c r="B249">
        <f>Crowdfunding!H439</f>
        <v>192</v>
      </c>
      <c r="E249" t="str">
        <f>Crowdfunding!G659</f>
        <v>failed</v>
      </c>
      <c r="F249">
        <f>Crowdfunding!H659</f>
        <v>14</v>
      </c>
    </row>
    <row r="250" spans="1:6" x14ac:dyDescent="0.25">
      <c r="A250" t="str">
        <f>Crowdfunding!G440</f>
        <v>successful</v>
      </c>
      <c r="B250">
        <f>Crowdfunding!H440</f>
        <v>247</v>
      </c>
      <c r="E250" t="str">
        <f>Crowdfunding!G661</f>
        <v>failed</v>
      </c>
      <c r="F250">
        <f>Crowdfunding!H661</f>
        <v>750</v>
      </c>
    </row>
    <row r="251" spans="1:6" x14ac:dyDescent="0.25">
      <c r="A251" t="str">
        <f>Crowdfunding!G441</f>
        <v>successful</v>
      </c>
      <c r="B251">
        <f>Crowdfunding!H441</f>
        <v>2293</v>
      </c>
      <c r="E251" t="str">
        <f>Crowdfunding!G662</f>
        <v>failed</v>
      </c>
      <c r="F251">
        <f>Crowdfunding!H662</f>
        <v>77</v>
      </c>
    </row>
    <row r="252" spans="1:6" x14ac:dyDescent="0.25">
      <c r="A252" t="str">
        <f>Crowdfunding!G442</f>
        <v>successful</v>
      </c>
      <c r="B252">
        <f>Crowdfunding!H442</f>
        <v>3131</v>
      </c>
      <c r="E252" t="str">
        <f>Crowdfunding!G663</f>
        <v>failed</v>
      </c>
      <c r="F252">
        <f>Crowdfunding!H663</f>
        <v>752</v>
      </c>
    </row>
    <row r="253" spans="1:6" x14ac:dyDescent="0.25">
      <c r="A253" t="str">
        <f>Crowdfunding!G444</f>
        <v>successful</v>
      </c>
      <c r="B253">
        <f>Crowdfunding!H444</f>
        <v>143</v>
      </c>
      <c r="E253" t="str">
        <f>Crowdfunding!G664</f>
        <v>failed</v>
      </c>
      <c r="F253">
        <f>Crowdfunding!H664</f>
        <v>131</v>
      </c>
    </row>
    <row r="254" spans="1:6" x14ac:dyDescent="0.25">
      <c r="A254" t="str">
        <f>Crowdfunding!G446</f>
        <v>successful</v>
      </c>
      <c r="B254">
        <f>Crowdfunding!H446</f>
        <v>296</v>
      </c>
      <c r="E254" t="str">
        <f>Crowdfunding!G665</f>
        <v>failed</v>
      </c>
      <c r="F254">
        <f>Crowdfunding!H665</f>
        <v>87</v>
      </c>
    </row>
    <row r="255" spans="1:6" x14ac:dyDescent="0.25">
      <c r="A255" t="str">
        <f>Crowdfunding!G447</f>
        <v>successful</v>
      </c>
      <c r="B255">
        <f>Crowdfunding!H447</f>
        <v>170</v>
      </c>
      <c r="E255" t="str">
        <f>Crowdfunding!G666</f>
        <v>failed</v>
      </c>
      <c r="F255">
        <f>Crowdfunding!H666</f>
        <v>1063</v>
      </c>
    </row>
    <row r="256" spans="1:6" x14ac:dyDescent="0.25">
      <c r="A256" t="str">
        <f>Crowdfunding!G451</f>
        <v>successful</v>
      </c>
      <c r="B256">
        <f>Crowdfunding!H451</f>
        <v>86</v>
      </c>
      <c r="E256" t="str">
        <f>Crowdfunding!G670</f>
        <v>failed</v>
      </c>
      <c r="F256">
        <f>Crowdfunding!H670</f>
        <v>76</v>
      </c>
    </row>
    <row r="257" spans="1:6" x14ac:dyDescent="0.25">
      <c r="A257" t="str">
        <f>Crowdfunding!G453</f>
        <v>successful</v>
      </c>
      <c r="B257">
        <f>Crowdfunding!H453</f>
        <v>6286</v>
      </c>
      <c r="E257" t="str">
        <f>Crowdfunding!G674</f>
        <v>failed</v>
      </c>
      <c r="F257">
        <f>Crowdfunding!H674</f>
        <v>4428</v>
      </c>
    </row>
    <row r="258" spans="1:6" x14ac:dyDescent="0.25">
      <c r="A258" t="str">
        <f>Crowdfunding!G457</f>
        <v>successful</v>
      </c>
      <c r="B258">
        <f>Crowdfunding!H457</f>
        <v>3727</v>
      </c>
      <c r="E258" t="str">
        <f>Crowdfunding!G675</f>
        <v>failed</v>
      </c>
      <c r="F258">
        <f>Crowdfunding!H675</f>
        <v>58</v>
      </c>
    </row>
    <row r="259" spans="1:6" x14ac:dyDescent="0.25">
      <c r="A259" t="str">
        <f>Crowdfunding!G458</f>
        <v>successful</v>
      </c>
      <c r="B259">
        <f>Crowdfunding!H458</f>
        <v>1605</v>
      </c>
      <c r="E259" t="str">
        <f>Crowdfunding!G679</f>
        <v>failed</v>
      </c>
      <c r="F259">
        <f>Crowdfunding!H679</f>
        <v>111</v>
      </c>
    </row>
    <row r="260" spans="1:6" x14ac:dyDescent="0.25">
      <c r="A260" t="str">
        <f>Crowdfunding!G460</f>
        <v>successful</v>
      </c>
      <c r="B260">
        <f>Crowdfunding!H460</f>
        <v>2120</v>
      </c>
      <c r="E260" t="str">
        <f>Crowdfunding!G682</f>
        <v>failed</v>
      </c>
      <c r="F260">
        <f>Crowdfunding!H682</f>
        <v>2955</v>
      </c>
    </row>
    <row r="261" spans="1:6" x14ac:dyDescent="0.25">
      <c r="A261" t="str">
        <f>Crowdfunding!G462</f>
        <v>successful</v>
      </c>
      <c r="B261">
        <f>Crowdfunding!H462</f>
        <v>50</v>
      </c>
      <c r="E261" t="str">
        <f>Crowdfunding!G683</f>
        <v>failed</v>
      </c>
      <c r="F261">
        <f>Crowdfunding!H683</f>
        <v>1657</v>
      </c>
    </row>
    <row r="262" spans="1:6" x14ac:dyDescent="0.25">
      <c r="A262" t="str">
        <f>Crowdfunding!G463</f>
        <v>successful</v>
      </c>
      <c r="B262">
        <f>Crowdfunding!H463</f>
        <v>2080</v>
      </c>
      <c r="E262" t="str">
        <f>Crowdfunding!G687</f>
        <v>failed</v>
      </c>
      <c r="F262">
        <f>Crowdfunding!H687</f>
        <v>926</v>
      </c>
    </row>
    <row r="263" spans="1:6" x14ac:dyDescent="0.25">
      <c r="A263" t="str">
        <f>Crowdfunding!G465</f>
        <v>successful</v>
      </c>
      <c r="B263">
        <f>Crowdfunding!H465</f>
        <v>2105</v>
      </c>
      <c r="E263" t="str">
        <f>Crowdfunding!G694</f>
        <v>failed</v>
      </c>
      <c r="F263">
        <f>Crowdfunding!H694</f>
        <v>77</v>
      </c>
    </row>
    <row r="264" spans="1:6" x14ac:dyDescent="0.25">
      <c r="A264" t="str">
        <f>Crowdfunding!G466</f>
        <v>successful</v>
      </c>
      <c r="B264">
        <f>Crowdfunding!H466</f>
        <v>2436</v>
      </c>
      <c r="E264" t="str">
        <f>Crowdfunding!G695</f>
        <v>failed</v>
      </c>
      <c r="F264">
        <f>Crowdfunding!H695</f>
        <v>1748</v>
      </c>
    </row>
    <row r="265" spans="1:6" x14ac:dyDescent="0.25">
      <c r="A265" t="str">
        <f>Crowdfunding!G467</f>
        <v>successful</v>
      </c>
      <c r="B265">
        <f>Crowdfunding!H467</f>
        <v>80</v>
      </c>
      <c r="E265" t="str">
        <f>Crowdfunding!G696</f>
        <v>failed</v>
      </c>
      <c r="F265">
        <f>Crowdfunding!H696</f>
        <v>79</v>
      </c>
    </row>
    <row r="266" spans="1:6" x14ac:dyDescent="0.25">
      <c r="A266" t="str">
        <f>Crowdfunding!G468</f>
        <v>successful</v>
      </c>
      <c r="B266">
        <f>Crowdfunding!H468</f>
        <v>42</v>
      </c>
      <c r="E266" t="str">
        <f>Crowdfunding!G698</f>
        <v>failed</v>
      </c>
      <c r="F266">
        <f>Crowdfunding!H698</f>
        <v>889</v>
      </c>
    </row>
    <row r="267" spans="1:6" x14ac:dyDescent="0.25">
      <c r="A267" t="str">
        <f>Crowdfunding!G469</f>
        <v>successful</v>
      </c>
      <c r="B267">
        <f>Crowdfunding!H469</f>
        <v>139</v>
      </c>
      <c r="E267" t="str">
        <f>Crowdfunding!G701</f>
        <v>failed</v>
      </c>
      <c r="F267">
        <f>Crowdfunding!H701</f>
        <v>56</v>
      </c>
    </row>
    <row r="268" spans="1:6" x14ac:dyDescent="0.25">
      <c r="A268" t="str">
        <f>Crowdfunding!G471</f>
        <v>successful</v>
      </c>
      <c r="B268">
        <f>Crowdfunding!H471</f>
        <v>159</v>
      </c>
      <c r="E268" t="str">
        <f>Crowdfunding!G702</f>
        <v>failed</v>
      </c>
      <c r="F268">
        <f>Crowdfunding!H702</f>
        <v>1</v>
      </c>
    </row>
    <row r="269" spans="1:6" x14ac:dyDescent="0.25">
      <c r="A269" t="str">
        <f>Crowdfunding!G472</f>
        <v>successful</v>
      </c>
      <c r="B269">
        <f>Crowdfunding!H472</f>
        <v>381</v>
      </c>
      <c r="E269" t="str">
        <f>Crowdfunding!G704</f>
        <v>failed</v>
      </c>
      <c r="F269">
        <f>Crowdfunding!H704</f>
        <v>83</v>
      </c>
    </row>
    <row r="270" spans="1:6" x14ac:dyDescent="0.25">
      <c r="A270" t="str">
        <f>Crowdfunding!G473</f>
        <v>successful</v>
      </c>
      <c r="B270">
        <f>Crowdfunding!H473</f>
        <v>194</v>
      </c>
      <c r="E270" t="str">
        <f>Crowdfunding!G707</f>
        <v>failed</v>
      </c>
      <c r="F270">
        <f>Crowdfunding!H707</f>
        <v>2025</v>
      </c>
    </row>
    <row r="271" spans="1:6" x14ac:dyDescent="0.25">
      <c r="A271" t="str">
        <f>Crowdfunding!G475</f>
        <v>successful</v>
      </c>
      <c r="B271">
        <f>Crowdfunding!H475</f>
        <v>106</v>
      </c>
      <c r="E271" t="str">
        <f>Crowdfunding!G713</f>
        <v>failed</v>
      </c>
      <c r="F271">
        <f>Crowdfunding!H713</f>
        <v>14</v>
      </c>
    </row>
    <row r="272" spans="1:6" x14ac:dyDescent="0.25">
      <c r="A272" t="str">
        <f>Crowdfunding!G476</f>
        <v>successful</v>
      </c>
      <c r="B272">
        <f>Crowdfunding!H476</f>
        <v>142</v>
      </c>
      <c r="E272" t="str">
        <f>Crowdfunding!G717</f>
        <v>failed</v>
      </c>
      <c r="F272">
        <f>Crowdfunding!H717</f>
        <v>656</v>
      </c>
    </row>
    <row r="273" spans="1:6" x14ac:dyDescent="0.25">
      <c r="A273" t="str">
        <f>Crowdfunding!G477</f>
        <v>successful</v>
      </c>
      <c r="B273">
        <f>Crowdfunding!H477</f>
        <v>211</v>
      </c>
      <c r="E273" t="str">
        <f>Crowdfunding!G727</f>
        <v>failed</v>
      </c>
      <c r="F273">
        <f>Crowdfunding!H727</f>
        <v>1596</v>
      </c>
    </row>
    <row r="274" spans="1:6" x14ac:dyDescent="0.25">
      <c r="A274" t="str">
        <f>Crowdfunding!G480</f>
        <v>successful</v>
      </c>
      <c r="B274">
        <f>Crowdfunding!H480</f>
        <v>2756</v>
      </c>
      <c r="E274" t="str">
        <f>Crowdfunding!G730</f>
        <v>failed</v>
      </c>
      <c r="F274">
        <f>Crowdfunding!H730</f>
        <v>10</v>
      </c>
    </row>
    <row r="275" spans="1:6" x14ac:dyDescent="0.25">
      <c r="A275" t="str">
        <f>Crowdfunding!G481</f>
        <v>successful</v>
      </c>
      <c r="B275">
        <f>Crowdfunding!H481</f>
        <v>173</v>
      </c>
      <c r="E275" t="str">
        <f>Crowdfunding!G734</f>
        <v>failed</v>
      </c>
      <c r="F275">
        <f>Crowdfunding!H734</f>
        <v>1121</v>
      </c>
    </row>
    <row r="276" spans="1:6" x14ac:dyDescent="0.25">
      <c r="A276" t="str">
        <f>Crowdfunding!G482</f>
        <v>successful</v>
      </c>
      <c r="B276">
        <f>Crowdfunding!H482</f>
        <v>87</v>
      </c>
      <c r="E276" t="str">
        <f>Crowdfunding!G740</f>
        <v>failed</v>
      </c>
      <c r="F276">
        <f>Crowdfunding!H740</f>
        <v>15</v>
      </c>
    </row>
    <row r="277" spans="1:6" x14ac:dyDescent="0.25">
      <c r="A277" t="str">
        <f>Crowdfunding!G486</f>
        <v>successful</v>
      </c>
      <c r="B277">
        <f>Crowdfunding!H486</f>
        <v>1572</v>
      </c>
      <c r="E277" t="str">
        <f>Crowdfunding!G741</f>
        <v>failed</v>
      </c>
      <c r="F277">
        <f>Crowdfunding!H741</f>
        <v>191</v>
      </c>
    </row>
    <row r="278" spans="1:6" x14ac:dyDescent="0.25">
      <c r="A278" t="str">
        <f>Crowdfunding!G489</f>
        <v>successful</v>
      </c>
      <c r="B278">
        <f>Crowdfunding!H489</f>
        <v>2346</v>
      </c>
      <c r="E278" t="str">
        <f>Crowdfunding!G742</f>
        <v>failed</v>
      </c>
      <c r="F278">
        <f>Crowdfunding!H742</f>
        <v>16</v>
      </c>
    </row>
    <row r="279" spans="1:6" x14ac:dyDescent="0.25">
      <c r="A279" t="str">
        <f>Crowdfunding!G490</f>
        <v>successful</v>
      </c>
      <c r="B279">
        <f>Crowdfunding!H490</f>
        <v>115</v>
      </c>
      <c r="E279" t="str">
        <f>Crowdfunding!G745</f>
        <v>failed</v>
      </c>
      <c r="F279">
        <f>Crowdfunding!H745</f>
        <v>17</v>
      </c>
    </row>
    <row r="280" spans="1:6" x14ac:dyDescent="0.25">
      <c r="A280" t="str">
        <f>Crowdfunding!G491</f>
        <v>successful</v>
      </c>
      <c r="B280">
        <f>Crowdfunding!H491</f>
        <v>85</v>
      </c>
      <c r="E280" t="str">
        <f>Crowdfunding!G747</f>
        <v>failed</v>
      </c>
      <c r="F280">
        <f>Crowdfunding!H747</f>
        <v>34</v>
      </c>
    </row>
    <row r="281" spans="1:6" x14ac:dyDescent="0.25">
      <c r="A281" t="str">
        <f>Crowdfunding!G492</f>
        <v>successful</v>
      </c>
      <c r="B281">
        <f>Crowdfunding!H492</f>
        <v>144</v>
      </c>
      <c r="E281" t="str">
        <f>Crowdfunding!G752</f>
        <v>failed</v>
      </c>
      <c r="F281">
        <f>Crowdfunding!H752</f>
        <v>1</v>
      </c>
    </row>
    <row r="282" spans="1:6" x14ac:dyDescent="0.25">
      <c r="A282" t="str">
        <f>Crowdfunding!G493</f>
        <v>successful</v>
      </c>
      <c r="B282">
        <f>Crowdfunding!H493</f>
        <v>2443</v>
      </c>
      <c r="E282" t="str">
        <f>Crowdfunding!G761</f>
        <v>failed</v>
      </c>
      <c r="F282">
        <f>Crowdfunding!H761</f>
        <v>1274</v>
      </c>
    </row>
    <row r="283" spans="1:6" x14ac:dyDescent="0.25">
      <c r="A283" t="str">
        <f>Crowdfunding!G495</f>
        <v>successful</v>
      </c>
      <c r="B283">
        <f>Crowdfunding!H495</f>
        <v>64</v>
      </c>
      <c r="E283" t="str">
        <f>Crowdfunding!G762</f>
        <v>failed</v>
      </c>
      <c r="F283">
        <f>Crowdfunding!H762</f>
        <v>210</v>
      </c>
    </row>
    <row r="284" spans="1:6" x14ac:dyDescent="0.25">
      <c r="A284" t="str">
        <f>Crowdfunding!G496</f>
        <v>successful</v>
      </c>
      <c r="B284">
        <f>Crowdfunding!H496</f>
        <v>268</v>
      </c>
      <c r="E284" t="str">
        <f>Crowdfunding!G768</f>
        <v>failed</v>
      </c>
      <c r="F284">
        <f>Crowdfunding!H768</f>
        <v>248</v>
      </c>
    </row>
    <row r="285" spans="1:6" x14ac:dyDescent="0.25">
      <c r="A285" t="str">
        <f>Crowdfunding!G497</f>
        <v>successful</v>
      </c>
      <c r="B285">
        <f>Crowdfunding!H497</f>
        <v>195</v>
      </c>
      <c r="E285" t="str">
        <f>Crowdfunding!G769</f>
        <v>failed</v>
      </c>
      <c r="F285">
        <f>Crowdfunding!H769</f>
        <v>513</v>
      </c>
    </row>
    <row r="286" spans="1:6" x14ac:dyDescent="0.25">
      <c r="A286" t="str">
        <f>Crowdfunding!G504</f>
        <v>successful</v>
      </c>
      <c r="B286">
        <f>Crowdfunding!H504</f>
        <v>186</v>
      </c>
      <c r="E286" t="str">
        <f>Crowdfunding!G771</f>
        <v>failed</v>
      </c>
      <c r="F286">
        <f>Crowdfunding!H771</f>
        <v>3410</v>
      </c>
    </row>
    <row r="287" spans="1:6" x14ac:dyDescent="0.25">
      <c r="A287" t="str">
        <f>Crowdfunding!G505</f>
        <v>successful</v>
      </c>
      <c r="B287">
        <f>Crowdfunding!H505</f>
        <v>460</v>
      </c>
      <c r="E287" t="str">
        <f>Crowdfunding!G777</f>
        <v>failed</v>
      </c>
      <c r="F287">
        <f>Crowdfunding!H777</f>
        <v>10</v>
      </c>
    </row>
    <row r="288" spans="1:6" x14ac:dyDescent="0.25">
      <c r="A288" t="str">
        <f>Crowdfunding!G508</f>
        <v>successful</v>
      </c>
      <c r="B288">
        <f>Crowdfunding!H508</f>
        <v>2528</v>
      </c>
      <c r="E288" t="str">
        <f>Crowdfunding!G778</f>
        <v>failed</v>
      </c>
      <c r="F288">
        <f>Crowdfunding!H778</f>
        <v>2201</v>
      </c>
    </row>
    <row r="289" spans="1:6" x14ac:dyDescent="0.25">
      <c r="A289" t="str">
        <f>Crowdfunding!G510</f>
        <v>successful</v>
      </c>
      <c r="B289">
        <f>Crowdfunding!H510</f>
        <v>3657</v>
      </c>
      <c r="E289" t="str">
        <f>Crowdfunding!G779</f>
        <v>failed</v>
      </c>
      <c r="F289">
        <f>Crowdfunding!H779</f>
        <v>676</v>
      </c>
    </row>
    <row r="290" spans="1:6" x14ac:dyDescent="0.25">
      <c r="A290" t="str">
        <f>Crowdfunding!G512</f>
        <v>successful</v>
      </c>
      <c r="B290">
        <f>Crowdfunding!H512</f>
        <v>131</v>
      </c>
      <c r="E290" t="str">
        <f>Crowdfunding!G781</f>
        <v>failed</v>
      </c>
      <c r="F290">
        <f>Crowdfunding!H781</f>
        <v>831</v>
      </c>
    </row>
    <row r="291" spans="1:6" x14ac:dyDescent="0.25">
      <c r="A291" t="str">
        <f>Crowdfunding!G514</f>
        <v>successful</v>
      </c>
      <c r="B291">
        <f>Crowdfunding!H514</f>
        <v>239</v>
      </c>
      <c r="E291" t="str">
        <f>Crowdfunding!G789</f>
        <v>failed</v>
      </c>
      <c r="F291">
        <f>Crowdfunding!H789</f>
        <v>859</v>
      </c>
    </row>
    <row r="292" spans="1:6" x14ac:dyDescent="0.25">
      <c r="A292" t="str">
        <f>Crowdfunding!G519</f>
        <v>successful</v>
      </c>
      <c r="B292">
        <f>Crowdfunding!H519</f>
        <v>78</v>
      </c>
      <c r="E292" t="str">
        <f>Crowdfunding!G791</f>
        <v>failed</v>
      </c>
      <c r="F292">
        <f>Crowdfunding!H791</f>
        <v>45</v>
      </c>
    </row>
    <row r="293" spans="1:6" x14ac:dyDescent="0.25">
      <c r="A293" t="str">
        <f>Crowdfunding!G521</f>
        <v>successful</v>
      </c>
      <c r="B293">
        <f>Crowdfunding!H521</f>
        <v>1773</v>
      </c>
      <c r="E293" t="str">
        <f>Crowdfunding!G793</f>
        <v>failed</v>
      </c>
      <c r="F293">
        <f>Crowdfunding!H793</f>
        <v>6</v>
      </c>
    </row>
    <row r="294" spans="1:6" x14ac:dyDescent="0.25">
      <c r="A294" t="str">
        <f>Crowdfunding!G522</f>
        <v>successful</v>
      </c>
      <c r="B294">
        <f>Crowdfunding!H522</f>
        <v>32</v>
      </c>
      <c r="E294" t="str">
        <f>Crowdfunding!G794</f>
        <v>failed</v>
      </c>
      <c r="F294">
        <f>Crowdfunding!H794</f>
        <v>7</v>
      </c>
    </row>
    <row r="295" spans="1:6" x14ac:dyDescent="0.25">
      <c r="A295" t="str">
        <f>Crowdfunding!G523</f>
        <v>successful</v>
      </c>
      <c r="B295">
        <f>Crowdfunding!H523</f>
        <v>369</v>
      </c>
      <c r="E295" t="str">
        <f>Crowdfunding!G797</f>
        <v>failed</v>
      </c>
      <c r="F295">
        <f>Crowdfunding!H797</f>
        <v>31</v>
      </c>
    </row>
    <row r="296" spans="1:6" x14ac:dyDescent="0.25">
      <c r="A296" t="str">
        <f>Crowdfunding!G525</f>
        <v>successful</v>
      </c>
      <c r="B296">
        <f>Crowdfunding!H525</f>
        <v>89</v>
      </c>
      <c r="E296" t="str">
        <f>Crowdfunding!G798</f>
        <v>failed</v>
      </c>
      <c r="F296">
        <f>Crowdfunding!H798</f>
        <v>78</v>
      </c>
    </row>
    <row r="297" spans="1:6" x14ac:dyDescent="0.25">
      <c r="A297" t="str">
        <f>Crowdfunding!G528</f>
        <v>successful</v>
      </c>
      <c r="B297">
        <f>Crowdfunding!H528</f>
        <v>147</v>
      </c>
      <c r="E297" t="str">
        <f>Crowdfunding!G801</f>
        <v>failed</v>
      </c>
      <c r="F297">
        <f>Crowdfunding!H801</f>
        <v>1225</v>
      </c>
    </row>
    <row r="298" spans="1:6" x14ac:dyDescent="0.25">
      <c r="A298" t="str">
        <f>Crowdfunding!G534</f>
        <v>successful</v>
      </c>
      <c r="B298">
        <f>Crowdfunding!H534</f>
        <v>126</v>
      </c>
      <c r="E298" t="str">
        <f>Crowdfunding!G802</f>
        <v>failed</v>
      </c>
      <c r="F298">
        <f>Crowdfunding!H802</f>
        <v>1</v>
      </c>
    </row>
    <row r="299" spans="1:6" x14ac:dyDescent="0.25">
      <c r="A299" t="str">
        <f>Crowdfunding!G535</f>
        <v>successful</v>
      </c>
      <c r="B299">
        <f>Crowdfunding!H535</f>
        <v>2218</v>
      </c>
      <c r="E299" t="str">
        <f>Crowdfunding!G807</f>
        <v>failed</v>
      </c>
      <c r="F299">
        <f>Crowdfunding!H807</f>
        <v>67</v>
      </c>
    </row>
    <row r="300" spans="1:6" x14ac:dyDescent="0.25">
      <c r="A300" t="str">
        <f>Crowdfunding!G537</f>
        <v>successful</v>
      </c>
      <c r="B300">
        <f>Crowdfunding!H537</f>
        <v>202</v>
      </c>
      <c r="E300" t="str">
        <f>Crowdfunding!G810</f>
        <v>failed</v>
      </c>
      <c r="F300">
        <f>Crowdfunding!H810</f>
        <v>19</v>
      </c>
    </row>
    <row r="301" spans="1:6" x14ac:dyDescent="0.25">
      <c r="A301" t="str">
        <f>Crowdfunding!G538</f>
        <v>successful</v>
      </c>
      <c r="B301">
        <f>Crowdfunding!H538</f>
        <v>140</v>
      </c>
      <c r="E301" t="str">
        <f>Crowdfunding!G811</f>
        <v>failed</v>
      </c>
      <c r="F301">
        <f>Crowdfunding!H811</f>
        <v>2108</v>
      </c>
    </row>
    <row r="302" spans="1:6" x14ac:dyDescent="0.25">
      <c r="A302" t="str">
        <f>Crowdfunding!G539</f>
        <v>successful</v>
      </c>
      <c r="B302">
        <f>Crowdfunding!H539</f>
        <v>1052</v>
      </c>
      <c r="E302" t="str">
        <f>Crowdfunding!G813</f>
        <v>failed</v>
      </c>
      <c r="F302">
        <f>Crowdfunding!H813</f>
        <v>679</v>
      </c>
    </row>
    <row r="303" spans="1:6" x14ac:dyDescent="0.25">
      <c r="A303" t="str">
        <f>Crowdfunding!G542</f>
        <v>successful</v>
      </c>
      <c r="B303">
        <f>Crowdfunding!H542</f>
        <v>247</v>
      </c>
      <c r="E303" t="str">
        <f>Crowdfunding!G816</f>
        <v>failed</v>
      </c>
      <c r="F303">
        <f>Crowdfunding!H816</f>
        <v>36</v>
      </c>
    </row>
    <row r="304" spans="1:6" x14ac:dyDescent="0.25">
      <c r="A304" t="str">
        <f>Crowdfunding!G546</f>
        <v>successful</v>
      </c>
      <c r="B304">
        <f>Crowdfunding!H546</f>
        <v>84</v>
      </c>
      <c r="E304" t="str">
        <f>Crowdfunding!G821</f>
        <v>failed</v>
      </c>
      <c r="F304">
        <f>Crowdfunding!H821</f>
        <v>47</v>
      </c>
    </row>
    <row r="305" spans="1:6" x14ac:dyDescent="0.25">
      <c r="A305" t="str">
        <f>Crowdfunding!G548</f>
        <v>successful</v>
      </c>
      <c r="B305">
        <f>Crowdfunding!H548</f>
        <v>88</v>
      </c>
      <c r="E305" t="str">
        <f>Crowdfunding!G830</f>
        <v>failed</v>
      </c>
      <c r="F305">
        <f>Crowdfunding!H830</f>
        <v>70</v>
      </c>
    </row>
    <row r="306" spans="1:6" x14ac:dyDescent="0.25">
      <c r="A306" t="str">
        <f>Crowdfunding!G549</f>
        <v>successful</v>
      </c>
      <c r="B306">
        <f>Crowdfunding!H549</f>
        <v>156</v>
      </c>
      <c r="E306" t="str">
        <f>Crowdfunding!G831</f>
        <v>failed</v>
      </c>
      <c r="F306">
        <f>Crowdfunding!H831</f>
        <v>154</v>
      </c>
    </row>
    <row r="307" spans="1:6" x14ac:dyDescent="0.25">
      <c r="A307" t="str">
        <f>Crowdfunding!G550</f>
        <v>successful</v>
      </c>
      <c r="B307">
        <f>Crowdfunding!H550</f>
        <v>2985</v>
      </c>
      <c r="E307" t="str">
        <f>Crowdfunding!G832</f>
        <v>failed</v>
      </c>
      <c r="F307">
        <f>Crowdfunding!H832</f>
        <v>22</v>
      </c>
    </row>
    <row r="308" spans="1:6" x14ac:dyDescent="0.25">
      <c r="A308" t="str">
        <f>Crowdfunding!G551</f>
        <v>successful</v>
      </c>
      <c r="B308">
        <f>Crowdfunding!H551</f>
        <v>762</v>
      </c>
      <c r="E308" t="str">
        <f>Crowdfunding!G837</f>
        <v>failed</v>
      </c>
      <c r="F308">
        <f>Crowdfunding!H837</f>
        <v>1758</v>
      </c>
    </row>
    <row r="309" spans="1:6" x14ac:dyDescent="0.25">
      <c r="A309" t="str">
        <f>Crowdfunding!G556</f>
        <v>successful</v>
      </c>
      <c r="B309">
        <f>Crowdfunding!H556</f>
        <v>554</v>
      </c>
      <c r="E309" t="str">
        <f>Crowdfunding!G838</f>
        <v>failed</v>
      </c>
      <c r="F309">
        <f>Crowdfunding!H838</f>
        <v>94</v>
      </c>
    </row>
    <row r="310" spans="1:6" x14ac:dyDescent="0.25">
      <c r="A310" t="str">
        <f>Crowdfunding!G557</f>
        <v>successful</v>
      </c>
      <c r="B310">
        <f>Crowdfunding!H557</f>
        <v>135</v>
      </c>
      <c r="E310" t="str">
        <f>Crowdfunding!G845</f>
        <v>failed</v>
      </c>
      <c r="F310">
        <f>Crowdfunding!H845</f>
        <v>33</v>
      </c>
    </row>
    <row r="311" spans="1:6" x14ac:dyDescent="0.25">
      <c r="A311" t="str">
        <f>Crowdfunding!G558</f>
        <v>successful</v>
      </c>
      <c r="B311">
        <f>Crowdfunding!H558</f>
        <v>122</v>
      </c>
      <c r="E311" t="str">
        <f>Crowdfunding!G852</f>
        <v>failed</v>
      </c>
      <c r="F311">
        <f>Crowdfunding!H852</f>
        <v>1</v>
      </c>
    </row>
    <row r="312" spans="1:6" x14ac:dyDescent="0.25">
      <c r="A312" t="str">
        <f>Crowdfunding!G559</f>
        <v>successful</v>
      </c>
      <c r="B312">
        <f>Crowdfunding!H559</f>
        <v>221</v>
      </c>
      <c r="E312" t="str">
        <f>Crowdfunding!G854</f>
        <v>failed</v>
      </c>
      <c r="F312">
        <f>Crowdfunding!H854</f>
        <v>31</v>
      </c>
    </row>
    <row r="313" spans="1:6" x14ac:dyDescent="0.25">
      <c r="A313" t="str">
        <f>Crowdfunding!G560</f>
        <v>successful</v>
      </c>
      <c r="B313">
        <f>Crowdfunding!H560</f>
        <v>126</v>
      </c>
      <c r="E313" t="str">
        <f>Crowdfunding!G860</f>
        <v>failed</v>
      </c>
      <c r="F313">
        <f>Crowdfunding!H860</f>
        <v>35</v>
      </c>
    </row>
    <row r="314" spans="1:6" x14ac:dyDescent="0.25">
      <c r="A314" t="str">
        <f>Crowdfunding!G561</f>
        <v>successful</v>
      </c>
      <c r="B314">
        <f>Crowdfunding!H561</f>
        <v>1022</v>
      </c>
      <c r="E314" t="str">
        <f>Crowdfunding!G861</f>
        <v>failed</v>
      </c>
      <c r="F314">
        <f>Crowdfunding!H861</f>
        <v>63</v>
      </c>
    </row>
    <row r="315" spans="1:6" x14ac:dyDescent="0.25">
      <c r="A315" t="str">
        <f>Crowdfunding!G562</f>
        <v>successful</v>
      </c>
      <c r="B315">
        <f>Crowdfunding!H562</f>
        <v>3177</v>
      </c>
      <c r="E315" t="str">
        <f>Crowdfunding!G871</f>
        <v>failed</v>
      </c>
      <c r="F315">
        <f>Crowdfunding!H871</f>
        <v>526</v>
      </c>
    </row>
    <row r="316" spans="1:6" x14ac:dyDescent="0.25">
      <c r="A316" t="str">
        <f>Crowdfunding!G563</f>
        <v>successful</v>
      </c>
      <c r="B316">
        <f>Crowdfunding!H563</f>
        <v>198</v>
      </c>
      <c r="E316" t="str">
        <f>Crowdfunding!G872</f>
        <v>failed</v>
      </c>
      <c r="F316">
        <f>Crowdfunding!H872</f>
        <v>121</v>
      </c>
    </row>
    <row r="317" spans="1:6" x14ac:dyDescent="0.25">
      <c r="A317" t="str">
        <f>Crowdfunding!G565</f>
        <v>successful</v>
      </c>
      <c r="B317">
        <f>Crowdfunding!H565</f>
        <v>85</v>
      </c>
      <c r="E317" t="str">
        <f>Crowdfunding!G877</f>
        <v>failed</v>
      </c>
      <c r="F317">
        <f>Crowdfunding!H877</f>
        <v>67</v>
      </c>
    </row>
    <row r="318" spans="1:6" x14ac:dyDescent="0.25">
      <c r="A318" t="str">
        <f>Crowdfunding!G567</f>
        <v>successful</v>
      </c>
      <c r="B318">
        <f>Crowdfunding!H567</f>
        <v>3596</v>
      </c>
      <c r="E318" t="str">
        <f>Crowdfunding!G878</f>
        <v>failed</v>
      </c>
      <c r="F318">
        <f>Crowdfunding!H878</f>
        <v>57</v>
      </c>
    </row>
    <row r="319" spans="1:6" x14ac:dyDescent="0.25">
      <c r="A319" t="str">
        <f>Crowdfunding!G569</f>
        <v>successful</v>
      </c>
      <c r="B319">
        <f>Crowdfunding!H569</f>
        <v>244</v>
      </c>
      <c r="E319" t="str">
        <f>Crowdfunding!G879</f>
        <v>failed</v>
      </c>
      <c r="F319">
        <f>Crowdfunding!H879</f>
        <v>1229</v>
      </c>
    </row>
    <row r="320" spans="1:6" x14ac:dyDescent="0.25">
      <c r="A320" t="str">
        <f>Crowdfunding!G570</f>
        <v>successful</v>
      </c>
      <c r="B320">
        <f>Crowdfunding!H570</f>
        <v>5180</v>
      </c>
      <c r="E320" t="str">
        <f>Crowdfunding!G880</f>
        <v>failed</v>
      </c>
      <c r="F320">
        <f>Crowdfunding!H880</f>
        <v>12</v>
      </c>
    </row>
    <row r="321" spans="1:6" x14ac:dyDescent="0.25">
      <c r="A321" t="str">
        <f>Crowdfunding!G571</f>
        <v>successful</v>
      </c>
      <c r="B321">
        <f>Crowdfunding!H571</f>
        <v>589</v>
      </c>
      <c r="E321" t="str">
        <f>Crowdfunding!G883</f>
        <v>failed</v>
      </c>
      <c r="F321">
        <f>Crowdfunding!H883</f>
        <v>452</v>
      </c>
    </row>
    <row r="322" spans="1:6" x14ac:dyDescent="0.25">
      <c r="A322" t="str">
        <f>Crowdfunding!G572</f>
        <v>successful</v>
      </c>
      <c r="B322">
        <f>Crowdfunding!H572</f>
        <v>2725</v>
      </c>
      <c r="E322" t="str">
        <f>Crowdfunding!G886</f>
        <v>failed</v>
      </c>
      <c r="F322">
        <f>Crowdfunding!H886</f>
        <v>1886</v>
      </c>
    </row>
    <row r="323" spans="1:6" x14ac:dyDescent="0.25">
      <c r="A323" t="str">
        <f>Crowdfunding!G575</f>
        <v>successful</v>
      </c>
      <c r="B323">
        <f>Crowdfunding!H575</f>
        <v>300</v>
      </c>
      <c r="E323" t="str">
        <f>Crowdfunding!G888</f>
        <v>failed</v>
      </c>
      <c r="F323">
        <f>Crowdfunding!H888</f>
        <v>1825</v>
      </c>
    </row>
    <row r="324" spans="1:6" x14ac:dyDescent="0.25">
      <c r="A324" t="str">
        <f>Crowdfunding!G576</f>
        <v>successful</v>
      </c>
      <c r="B324">
        <f>Crowdfunding!H576</f>
        <v>144</v>
      </c>
      <c r="E324" t="str">
        <f>Crowdfunding!G889</f>
        <v>failed</v>
      </c>
      <c r="F324">
        <f>Crowdfunding!H889</f>
        <v>31</v>
      </c>
    </row>
    <row r="325" spans="1:6" x14ac:dyDescent="0.25">
      <c r="A325" t="str">
        <f>Crowdfunding!G581</f>
        <v>successful</v>
      </c>
      <c r="B325">
        <f>Crowdfunding!H581</f>
        <v>87</v>
      </c>
      <c r="E325" t="str">
        <f>Crowdfunding!G897</f>
        <v>failed</v>
      </c>
      <c r="F325">
        <f>Crowdfunding!H897</f>
        <v>107</v>
      </c>
    </row>
    <row r="326" spans="1:6" x14ac:dyDescent="0.25">
      <c r="A326" t="str">
        <f>Crowdfunding!G582</f>
        <v>successful</v>
      </c>
      <c r="B326">
        <f>Crowdfunding!H582</f>
        <v>3116</v>
      </c>
      <c r="E326" t="str">
        <f>Crowdfunding!G899</f>
        <v>failed</v>
      </c>
      <c r="F326">
        <f>Crowdfunding!H899</f>
        <v>27</v>
      </c>
    </row>
    <row r="327" spans="1:6" x14ac:dyDescent="0.25">
      <c r="A327" t="str">
        <f>Crowdfunding!G585</f>
        <v>successful</v>
      </c>
      <c r="B327">
        <f>Crowdfunding!H585</f>
        <v>909</v>
      </c>
      <c r="E327" t="str">
        <f>Crowdfunding!G900</f>
        <v>failed</v>
      </c>
      <c r="F327">
        <f>Crowdfunding!H900</f>
        <v>1221</v>
      </c>
    </row>
    <row r="328" spans="1:6" x14ac:dyDescent="0.25">
      <c r="A328" t="str">
        <f>Crowdfunding!G586</f>
        <v>successful</v>
      </c>
      <c r="B328">
        <f>Crowdfunding!H586</f>
        <v>1613</v>
      </c>
      <c r="E328" t="str">
        <f>Crowdfunding!G902</f>
        <v>failed</v>
      </c>
      <c r="F328">
        <f>Crowdfunding!H902</f>
        <v>1</v>
      </c>
    </row>
    <row r="329" spans="1:6" x14ac:dyDescent="0.25">
      <c r="A329" t="str">
        <f>Crowdfunding!G587</f>
        <v>successful</v>
      </c>
      <c r="B329">
        <f>Crowdfunding!H587</f>
        <v>136</v>
      </c>
      <c r="E329" t="str">
        <f>Crowdfunding!G906</f>
        <v>failed</v>
      </c>
      <c r="F329">
        <f>Crowdfunding!H906</f>
        <v>16</v>
      </c>
    </row>
    <row r="330" spans="1:6" x14ac:dyDescent="0.25">
      <c r="A330" t="str">
        <f>Crowdfunding!G588</f>
        <v>successful</v>
      </c>
      <c r="B330">
        <f>Crowdfunding!H588</f>
        <v>130</v>
      </c>
      <c r="E330" t="str">
        <f>Crowdfunding!G909</f>
        <v>failed</v>
      </c>
      <c r="F330">
        <f>Crowdfunding!H909</f>
        <v>41</v>
      </c>
    </row>
    <row r="331" spans="1:6" x14ac:dyDescent="0.25">
      <c r="A331" t="str">
        <f>Crowdfunding!G593</f>
        <v>successful</v>
      </c>
      <c r="B331">
        <f>Crowdfunding!H593</f>
        <v>102</v>
      </c>
      <c r="E331" t="str">
        <f>Crowdfunding!G915</f>
        <v>failed</v>
      </c>
      <c r="F331">
        <f>Crowdfunding!H915</f>
        <v>523</v>
      </c>
    </row>
    <row r="332" spans="1:6" x14ac:dyDescent="0.25">
      <c r="A332" t="str">
        <f>Crowdfunding!G595</f>
        <v>successful</v>
      </c>
      <c r="B332">
        <f>Crowdfunding!H595</f>
        <v>4006</v>
      </c>
      <c r="E332" t="str">
        <f>Crowdfunding!G916</f>
        <v>failed</v>
      </c>
      <c r="F332">
        <f>Crowdfunding!H916</f>
        <v>141</v>
      </c>
    </row>
    <row r="333" spans="1:6" x14ac:dyDescent="0.25">
      <c r="A333" t="str">
        <f>Crowdfunding!G597</f>
        <v>successful</v>
      </c>
      <c r="B333">
        <f>Crowdfunding!H597</f>
        <v>1629</v>
      </c>
      <c r="E333" t="str">
        <f>Crowdfunding!G918</f>
        <v>failed</v>
      </c>
      <c r="F333">
        <f>Crowdfunding!H918</f>
        <v>52</v>
      </c>
    </row>
    <row r="334" spans="1:6" x14ac:dyDescent="0.25">
      <c r="A334" t="str">
        <f>Crowdfunding!G599</f>
        <v>successful</v>
      </c>
      <c r="B334">
        <f>Crowdfunding!H599</f>
        <v>2188</v>
      </c>
      <c r="E334" t="str">
        <f>Crowdfunding!G921</f>
        <v>failed</v>
      </c>
      <c r="F334">
        <f>Crowdfunding!H921</f>
        <v>225</v>
      </c>
    </row>
    <row r="335" spans="1:6" x14ac:dyDescent="0.25">
      <c r="A335" t="str">
        <f>Crowdfunding!G600</f>
        <v>successful</v>
      </c>
      <c r="B335">
        <f>Crowdfunding!H600</f>
        <v>2409</v>
      </c>
      <c r="E335" t="str">
        <f>Crowdfunding!G923</f>
        <v>failed</v>
      </c>
      <c r="F335">
        <f>Crowdfunding!H923</f>
        <v>38</v>
      </c>
    </row>
    <row r="336" spans="1:6" x14ac:dyDescent="0.25">
      <c r="A336" t="str">
        <f>Crowdfunding!G603</f>
        <v>successful</v>
      </c>
      <c r="B336">
        <f>Crowdfunding!H603</f>
        <v>194</v>
      </c>
      <c r="E336" t="str">
        <f>Crowdfunding!G928</f>
        <v>failed</v>
      </c>
      <c r="F336">
        <f>Crowdfunding!H928</f>
        <v>15</v>
      </c>
    </row>
    <row r="337" spans="1:6" x14ac:dyDescent="0.25">
      <c r="A337" t="str">
        <f>Crowdfunding!G604</f>
        <v>successful</v>
      </c>
      <c r="B337">
        <f>Crowdfunding!H604</f>
        <v>1140</v>
      </c>
      <c r="E337" t="str">
        <f>Crowdfunding!G929</f>
        <v>failed</v>
      </c>
      <c r="F337">
        <f>Crowdfunding!H929</f>
        <v>37</v>
      </c>
    </row>
    <row r="338" spans="1:6" x14ac:dyDescent="0.25">
      <c r="A338" t="str">
        <f>Crowdfunding!G605</f>
        <v>successful</v>
      </c>
      <c r="B338">
        <f>Crowdfunding!H605</f>
        <v>102</v>
      </c>
      <c r="E338" t="str">
        <f>Crowdfunding!G933</f>
        <v>failed</v>
      </c>
      <c r="F338">
        <f>Crowdfunding!H933</f>
        <v>112</v>
      </c>
    </row>
    <row r="339" spans="1:6" x14ac:dyDescent="0.25">
      <c r="A339" t="str">
        <f>Crowdfunding!G606</f>
        <v>successful</v>
      </c>
      <c r="B339">
        <f>Crowdfunding!H606</f>
        <v>2857</v>
      </c>
      <c r="E339" t="str">
        <f>Crowdfunding!G938</f>
        <v>failed</v>
      </c>
      <c r="F339">
        <f>Crowdfunding!H938</f>
        <v>21</v>
      </c>
    </row>
    <row r="340" spans="1:6" x14ac:dyDescent="0.25">
      <c r="A340" t="str">
        <f>Crowdfunding!G607</f>
        <v>successful</v>
      </c>
      <c r="B340">
        <f>Crowdfunding!H607</f>
        <v>107</v>
      </c>
      <c r="E340" t="str">
        <f>Crowdfunding!G941</f>
        <v>failed</v>
      </c>
      <c r="F340">
        <f>Crowdfunding!H941</f>
        <v>67</v>
      </c>
    </row>
    <row r="341" spans="1:6" x14ac:dyDescent="0.25">
      <c r="A341" t="str">
        <f>Crowdfunding!G608</f>
        <v>successful</v>
      </c>
      <c r="B341">
        <f>Crowdfunding!H608</f>
        <v>160</v>
      </c>
      <c r="E341" t="str">
        <f>Crowdfunding!G943</f>
        <v>failed</v>
      </c>
      <c r="F341">
        <f>Crowdfunding!H943</f>
        <v>78</v>
      </c>
    </row>
    <row r="342" spans="1:6" x14ac:dyDescent="0.25">
      <c r="A342" t="str">
        <f>Crowdfunding!G609</f>
        <v>successful</v>
      </c>
      <c r="B342">
        <f>Crowdfunding!H609</f>
        <v>2230</v>
      </c>
      <c r="E342" t="str">
        <f>Crowdfunding!G944</f>
        <v>failed</v>
      </c>
      <c r="F342">
        <f>Crowdfunding!H944</f>
        <v>67</v>
      </c>
    </row>
    <row r="343" spans="1:6" x14ac:dyDescent="0.25">
      <c r="A343" t="str">
        <f>Crowdfunding!G610</f>
        <v>successful</v>
      </c>
      <c r="B343">
        <f>Crowdfunding!H610</f>
        <v>316</v>
      </c>
      <c r="E343" t="str">
        <f>Crowdfunding!G946</f>
        <v>failed</v>
      </c>
      <c r="F343">
        <f>Crowdfunding!H946</f>
        <v>263</v>
      </c>
    </row>
    <row r="344" spans="1:6" x14ac:dyDescent="0.25">
      <c r="A344" t="str">
        <f>Crowdfunding!G611</f>
        <v>successful</v>
      </c>
      <c r="B344">
        <f>Crowdfunding!H611</f>
        <v>117</v>
      </c>
      <c r="E344" t="str">
        <f>Crowdfunding!G947</f>
        <v>failed</v>
      </c>
      <c r="F344">
        <f>Crowdfunding!H947</f>
        <v>1691</v>
      </c>
    </row>
    <row r="345" spans="1:6" x14ac:dyDescent="0.25">
      <c r="A345" t="str">
        <f>Crowdfunding!G612</f>
        <v>successful</v>
      </c>
      <c r="B345">
        <f>Crowdfunding!H612</f>
        <v>6406</v>
      </c>
      <c r="E345" t="str">
        <f>Crowdfunding!G948</f>
        <v>failed</v>
      </c>
      <c r="F345">
        <f>Crowdfunding!H948</f>
        <v>181</v>
      </c>
    </row>
    <row r="346" spans="1:6" x14ac:dyDescent="0.25">
      <c r="A346" t="str">
        <f>Crowdfunding!G614</f>
        <v>successful</v>
      </c>
      <c r="B346">
        <f>Crowdfunding!H614</f>
        <v>192</v>
      </c>
      <c r="E346" t="str">
        <f>Crowdfunding!G949</f>
        <v>failed</v>
      </c>
      <c r="F346">
        <f>Crowdfunding!H949</f>
        <v>13</v>
      </c>
    </row>
    <row r="347" spans="1:6" x14ac:dyDescent="0.25">
      <c r="A347" t="str">
        <f>Crowdfunding!G615</f>
        <v>successful</v>
      </c>
      <c r="B347">
        <f>Crowdfunding!H615</f>
        <v>26</v>
      </c>
      <c r="E347" t="str">
        <f>Crowdfunding!G952</f>
        <v>failed</v>
      </c>
      <c r="F347">
        <f>Crowdfunding!H952</f>
        <v>1</v>
      </c>
    </row>
    <row r="348" spans="1:6" x14ac:dyDescent="0.25">
      <c r="A348" t="str">
        <f>Crowdfunding!G616</f>
        <v>successful</v>
      </c>
      <c r="B348">
        <f>Crowdfunding!H616</f>
        <v>723</v>
      </c>
      <c r="E348" t="str">
        <f>Crowdfunding!G955</f>
        <v>failed</v>
      </c>
      <c r="F348">
        <f>Crowdfunding!H955</f>
        <v>21</v>
      </c>
    </row>
    <row r="349" spans="1:6" x14ac:dyDescent="0.25">
      <c r="A349" t="str">
        <f>Crowdfunding!G617</f>
        <v>successful</v>
      </c>
      <c r="B349">
        <f>Crowdfunding!H617</f>
        <v>170</v>
      </c>
      <c r="E349" t="str">
        <f>Crowdfunding!G958</f>
        <v>failed</v>
      </c>
      <c r="F349">
        <f>Crowdfunding!H958</f>
        <v>830</v>
      </c>
    </row>
    <row r="350" spans="1:6" x14ac:dyDescent="0.25">
      <c r="A350" t="str">
        <f>Crowdfunding!G618</f>
        <v>successful</v>
      </c>
      <c r="B350">
        <f>Crowdfunding!H618</f>
        <v>238</v>
      </c>
      <c r="E350" t="str">
        <f>Crowdfunding!G961</f>
        <v>failed</v>
      </c>
      <c r="F350">
        <f>Crowdfunding!H961</f>
        <v>130</v>
      </c>
    </row>
    <row r="351" spans="1:6" x14ac:dyDescent="0.25">
      <c r="A351" t="str">
        <f>Crowdfunding!G619</f>
        <v>successful</v>
      </c>
      <c r="B351">
        <f>Crowdfunding!H619</f>
        <v>55</v>
      </c>
      <c r="E351" t="str">
        <f>Crowdfunding!G962</f>
        <v>failed</v>
      </c>
      <c r="F351">
        <f>Crowdfunding!H962</f>
        <v>55</v>
      </c>
    </row>
    <row r="352" spans="1:6" x14ac:dyDescent="0.25">
      <c r="A352" t="str">
        <f>Crowdfunding!G622</f>
        <v>successful</v>
      </c>
      <c r="B352">
        <f>Crowdfunding!H622</f>
        <v>128</v>
      </c>
      <c r="E352" t="str">
        <f>Crowdfunding!G965</f>
        <v>failed</v>
      </c>
      <c r="F352">
        <f>Crowdfunding!H965</f>
        <v>114</v>
      </c>
    </row>
    <row r="353" spans="1:6" x14ac:dyDescent="0.25">
      <c r="A353" t="str">
        <f>Crowdfunding!G623</f>
        <v>successful</v>
      </c>
      <c r="B353">
        <f>Crowdfunding!H623</f>
        <v>2144</v>
      </c>
      <c r="E353" t="str">
        <f>Crowdfunding!G972</f>
        <v>failed</v>
      </c>
      <c r="F353">
        <f>Crowdfunding!H972</f>
        <v>594</v>
      </c>
    </row>
    <row r="354" spans="1:6" x14ac:dyDescent="0.25">
      <c r="A354" t="str">
        <f>Crowdfunding!G625</f>
        <v>successful</v>
      </c>
      <c r="B354">
        <f>Crowdfunding!H625</f>
        <v>2693</v>
      </c>
      <c r="E354" t="str">
        <f>Crowdfunding!G973</f>
        <v>failed</v>
      </c>
      <c r="F354">
        <f>Crowdfunding!H973</f>
        <v>24</v>
      </c>
    </row>
    <row r="355" spans="1:6" x14ac:dyDescent="0.25">
      <c r="A355" t="str">
        <f>Crowdfunding!G626</f>
        <v>successful</v>
      </c>
      <c r="B355">
        <f>Crowdfunding!H626</f>
        <v>432</v>
      </c>
      <c r="E355" t="str">
        <f>Crowdfunding!G975</f>
        <v>failed</v>
      </c>
      <c r="F355">
        <f>Crowdfunding!H975</f>
        <v>252</v>
      </c>
    </row>
    <row r="356" spans="1:6" x14ac:dyDescent="0.25">
      <c r="A356" t="str">
        <f>Crowdfunding!G628</f>
        <v>successful</v>
      </c>
      <c r="B356">
        <f>Crowdfunding!H628</f>
        <v>189</v>
      </c>
      <c r="E356" t="str">
        <f>Crowdfunding!G979</f>
        <v>failed</v>
      </c>
      <c r="F356">
        <f>Crowdfunding!H979</f>
        <v>67</v>
      </c>
    </row>
    <row r="357" spans="1:6" x14ac:dyDescent="0.25">
      <c r="A357" t="str">
        <f>Crowdfunding!G629</f>
        <v>successful</v>
      </c>
      <c r="B357">
        <f>Crowdfunding!H629</f>
        <v>154</v>
      </c>
      <c r="E357" t="str">
        <f>Crowdfunding!G982</f>
        <v>failed</v>
      </c>
      <c r="F357">
        <f>Crowdfunding!H982</f>
        <v>742</v>
      </c>
    </row>
    <row r="358" spans="1:6" x14ac:dyDescent="0.25">
      <c r="A358" t="str">
        <f>Crowdfunding!G630</f>
        <v>successful</v>
      </c>
      <c r="B358">
        <f>Crowdfunding!H630</f>
        <v>96</v>
      </c>
      <c r="E358" t="str">
        <f>Crowdfunding!G984</f>
        <v>failed</v>
      </c>
      <c r="F358">
        <f>Crowdfunding!H984</f>
        <v>75</v>
      </c>
    </row>
    <row r="359" spans="1:6" x14ac:dyDescent="0.25">
      <c r="A359" t="str">
        <f>Crowdfunding!G633</f>
        <v>successful</v>
      </c>
      <c r="B359">
        <f>Crowdfunding!H633</f>
        <v>3063</v>
      </c>
      <c r="E359" t="str">
        <f>Crowdfunding!G987</f>
        <v>failed</v>
      </c>
      <c r="F359">
        <f>Crowdfunding!H987</f>
        <v>4405</v>
      </c>
    </row>
    <row r="360" spans="1:6" x14ac:dyDescent="0.25">
      <c r="A360" t="str">
        <f>Crowdfunding!G637</f>
        <v>successful</v>
      </c>
      <c r="B360">
        <f>Crowdfunding!H637</f>
        <v>2266</v>
      </c>
      <c r="E360" t="str">
        <f>Crowdfunding!G988</f>
        <v>failed</v>
      </c>
      <c r="F360">
        <f>Crowdfunding!H988</f>
        <v>92</v>
      </c>
    </row>
    <row r="361" spans="1:6" x14ac:dyDescent="0.25">
      <c r="A361" t="str">
        <f>Crowdfunding!G643</f>
        <v>successful</v>
      </c>
      <c r="B361">
        <f>Crowdfunding!H643</f>
        <v>194</v>
      </c>
      <c r="E361" t="str">
        <f>Crowdfunding!G990</f>
        <v>failed</v>
      </c>
      <c r="F361">
        <f>Crowdfunding!H990</f>
        <v>64</v>
      </c>
    </row>
    <row r="362" spans="1:6" x14ac:dyDescent="0.25">
      <c r="A362" t="str">
        <f>Crowdfunding!G644</f>
        <v>successful</v>
      </c>
      <c r="B362">
        <f>Crowdfunding!H644</f>
        <v>129</v>
      </c>
      <c r="E362" t="str">
        <f>Crowdfunding!G992</f>
        <v>failed</v>
      </c>
      <c r="F362">
        <f>Crowdfunding!H992</f>
        <v>64</v>
      </c>
    </row>
    <row r="363" spans="1:6" x14ac:dyDescent="0.25">
      <c r="A363" t="str">
        <f>Crowdfunding!G645</f>
        <v>successful</v>
      </c>
      <c r="B363">
        <f>Crowdfunding!H645</f>
        <v>375</v>
      </c>
      <c r="E363" t="str">
        <f>Crowdfunding!G996</f>
        <v>failed</v>
      </c>
      <c r="F363">
        <f>Crowdfunding!H996</f>
        <v>842</v>
      </c>
    </row>
    <row r="364" spans="1:6" x14ac:dyDescent="0.25">
      <c r="A364" t="str">
        <f>Crowdfunding!G654</f>
        <v>successful</v>
      </c>
      <c r="B364">
        <f>Crowdfunding!H654</f>
        <v>409</v>
      </c>
      <c r="E364" t="str">
        <f>Crowdfunding!G998</f>
        <v>failed</v>
      </c>
      <c r="F364">
        <f>Crowdfunding!H998</f>
        <v>112</v>
      </c>
    </row>
    <row r="365" spans="1:6" x14ac:dyDescent="0.25">
      <c r="A365" t="str">
        <f>Crowdfunding!G655</f>
        <v>successful</v>
      </c>
      <c r="B365">
        <f>Crowdfunding!H655</f>
        <v>234</v>
      </c>
      <c r="E365" t="str">
        <f>Crowdfunding!G1000</f>
        <v>failed</v>
      </c>
      <c r="F365">
        <f>Crowdfunding!H1000</f>
        <v>374</v>
      </c>
    </row>
    <row r="366" spans="1:6" x14ac:dyDescent="0.25">
      <c r="A366" t="str">
        <f>Crowdfunding!G656</f>
        <v>successful</v>
      </c>
      <c r="B366">
        <f>Crowdfunding!H656</f>
        <v>3016</v>
      </c>
    </row>
    <row r="367" spans="1:6" x14ac:dyDescent="0.25">
      <c r="A367" t="str">
        <f>Crowdfunding!G657</f>
        <v>successful</v>
      </c>
      <c r="B367">
        <f>Crowdfunding!H657</f>
        <v>264</v>
      </c>
    </row>
    <row r="368" spans="1:6" x14ac:dyDescent="0.25">
      <c r="A368" t="str">
        <f>Crowdfunding!G667</f>
        <v>successful</v>
      </c>
      <c r="B368">
        <f>Crowdfunding!H667</f>
        <v>272</v>
      </c>
    </row>
    <row r="369" spans="1:2" x14ac:dyDescent="0.25">
      <c r="A369" t="str">
        <f>Crowdfunding!G669</f>
        <v>successful</v>
      </c>
      <c r="B369">
        <f>Crowdfunding!H669</f>
        <v>419</v>
      </c>
    </row>
    <row r="370" spans="1:2" x14ac:dyDescent="0.25">
      <c r="A370" t="str">
        <f>Crowdfunding!G671</f>
        <v>successful</v>
      </c>
      <c r="B370">
        <f>Crowdfunding!H671</f>
        <v>1621</v>
      </c>
    </row>
    <row r="371" spans="1:2" x14ac:dyDescent="0.25">
      <c r="A371" t="str">
        <f>Crowdfunding!G672</f>
        <v>successful</v>
      </c>
      <c r="B371">
        <f>Crowdfunding!H672</f>
        <v>1101</v>
      </c>
    </row>
    <row r="372" spans="1:2" x14ac:dyDescent="0.25">
      <c r="A372" t="str">
        <f>Crowdfunding!G673</f>
        <v>successful</v>
      </c>
      <c r="B372">
        <f>Crowdfunding!H673</f>
        <v>1073</v>
      </c>
    </row>
    <row r="373" spans="1:2" x14ac:dyDescent="0.25">
      <c r="A373" t="str">
        <f>Crowdfunding!G677</f>
        <v>successful</v>
      </c>
      <c r="B373">
        <f>Crowdfunding!H677</f>
        <v>331</v>
      </c>
    </row>
    <row r="374" spans="1:2" x14ac:dyDescent="0.25">
      <c r="A374" t="str">
        <f>Crowdfunding!G678</f>
        <v>successful</v>
      </c>
      <c r="B374">
        <f>Crowdfunding!H678</f>
        <v>1170</v>
      </c>
    </row>
    <row r="375" spans="1:2" x14ac:dyDescent="0.25">
      <c r="A375" t="str">
        <f>Crowdfunding!G681</f>
        <v>successful</v>
      </c>
      <c r="B375">
        <f>Crowdfunding!H681</f>
        <v>363</v>
      </c>
    </row>
    <row r="376" spans="1:2" x14ac:dyDescent="0.25">
      <c r="A376" t="str">
        <f>Crowdfunding!G684</f>
        <v>successful</v>
      </c>
      <c r="B376">
        <f>Crowdfunding!H684</f>
        <v>103</v>
      </c>
    </row>
    <row r="377" spans="1:2" x14ac:dyDescent="0.25">
      <c r="A377" t="str">
        <f>Crowdfunding!G685</f>
        <v>successful</v>
      </c>
      <c r="B377">
        <f>Crowdfunding!H685</f>
        <v>147</v>
      </c>
    </row>
    <row r="378" spans="1:2" x14ac:dyDescent="0.25">
      <c r="A378" t="str">
        <f>Crowdfunding!G686</f>
        <v>successful</v>
      </c>
      <c r="B378">
        <f>Crowdfunding!H686</f>
        <v>110</v>
      </c>
    </row>
    <row r="379" spans="1:2" x14ac:dyDescent="0.25">
      <c r="A379" t="str">
        <f>Crowdfunding!G688</f>
        <v>successful</v>
      </c>
      <c r="B379">
        <f>Crowdfunding!H688</f>
        <v>134</v>
      </c>
    </row>
    <row r="380" spans="1:2" x14ac:dyDescent="0.25">
      <c r="A380" t="str">
        <f>Crowdfunding!G689</f>
        <v>successful</v>
      </c>
      <c r="B380">
        <f>Crowdfunding!H689</f>
        <v>269</v>
      </c>
    </row>
    <row r="381" spans="1:2" x14ac:dyDescent="0.25">
      <c r="A381" t="str">
        <f>Crowdfunding!G690</f>
        <v>successful</v>
      </c>
      <c r="B381">
        <f>Crowdfunding!H690</f>
        <v>175</v>
      </c>
    </row>
    <row r="382" spans="1:2" x14ac:dyDescent="0.25">
      <c r="A382" t="str">
        <f>Crowdfunding!G691</f>
        <v>successful</v>
      </c>
      <c r="B382">
        <f>Crowdfunding!H691</f>
        <v>69</v>
      </c>
    </row>
    <row r="383" spans="1:2" x14ac:dyDescent="0.25">
      <c r="A383" t="str">
        <f>Crowdfunding!G692</f>
        <v>successful</v>
      </c>
      <c r="B383">
        <f>Crowdfunding!H692</f>
        <v>190</v>
      </c>
    </row>
    <row r="384" spans="1:2" x14ac:dyDescent="0.25">
      <c r="A384" t="str">
        <f>Crowdfunding!G693</f>
        <v>successful</v>
      </c>
      <c r="B384">
        <f>Crowdfunding!H693</f>
        <v>237</v>
      </c>
    </row>
    <row r="385" spans="1:2" x14ac:dyDescent="0.25">
      <c r="A385" t="str">
        <f>Crowdfunding!G697</f>
        <v>successful</v>
      </c>
      <c r="B385">
        <f>Crowdfunding!H697</f>
        <v>196</v>
      </c>
    </row>
    <row r="386" spans="1:2" x14ac:dyDescent="0.25">
      <c r="A386" t="str">
        <f>Crowdfunding!G699</f>
        <v>successful</v>
      </c>
      <c r="B386">
        <f>Crowdfunding!H699</f>
        <v>7295</v>
      </c>
    </row>
    <row r="387" spans="1:2" x14ac:dyDescent="0.25">
      <c r="A387" t="str">
        <f>Crowdfunding!G700</f>
        <v>successful</v>
      </c>
      <c r="B387">
        <f>Crowdfunding!H700</f>
        <v>2893</v>
      </c>
    </row>
    <row r="388" spans="1:2" x14ac:dyDescent="0.25">
      <c r="A388" t="str">
        <f>Crowdfunding!G703</f>
        <v>successful</v>
      </c>
      <c r="B388">
        <f>Crowdfunding!H703</f>
        <v>820</v>
      </c>
    </row>
    <row r="389" spans="1:2" x14ac:dyDescent="0.25">
      <c r="A389" t="str">
        <f>Crowdfunding!G705</f>
        <v>successful</v>
      </c>
      <c r="B389">
        <f>Crowdfunding!H705</f>
        <v>2038</v>
      </c>
    </row>
    <row r="390" spans="1:2" x14ac:dyDescent="0.25">
      <c r="A390" t="str">
        <f>Crowdfunding!G706</f>
        <v>successful</v>
      </c>
      <c r="B390">
        <f>Crowdfunding!H706</f>
        <v>116</v>
      </c>
    </row>
    <row r="391" spans="1:2" x14ac:dyDescent="0.25">
      <c r="A391" t="str">
        <f>Crowdfunding!G708</f>
        <v>successful</v>
      </c>
      <c r="B391">
        <f>Crowdfunding!H708</f>
        <v>1345</v>
      </c>
    </row>
    <row r="392" spans="1:2" x14ac:dyDescent="0.25">
      <c r="A392" t="str">
        <f>Crowdfunding!G709</f>
        <v>successful</v>
      </c>
      <c r="B392">
        <f>Crowdfunding!H709</f>
        <v>168</v>
      </c>
    </row>
    <row r="393" spans="1:2" x14ac:dyDescent="0.25">
      <c r="A393" t="str">
        <f>Crowdfunding!G710</f>
        <v>successful</v>
      </c>
      <c r="B393">
        <f>Crowdfunding!H710</f>
        <v>137</v>
      </c>
    </row>
    <row r="394" spans="1:2" x14ac:dyDescent="0.25">
      <c r="A394" t="str">
        <f>Crowdfunding!G711</f>
        <v>successful</v>
      </c>
      <c r="B394">
        <f>Crowdfunding!H711</f>
        <v>186</v>
      </c>
    </row>
    <row r="395" spans="1:2" x14ac:dyDescent="0.25">
      <c r="A395" t="str">
        <f>Crowdfunding!G712</f>
        <v>successful</v>
      </c>
      <c r="B395">
        <f>Crowdfunding!H712</f>
        <v>125</v>
      </c>
    </row>
    <row r="396" spans="1:2" x14ac:dyDescent="0.25">
      <c r="A396" t="str">
        <f>Crowdfunding!G714</f>
        <v>successful</v>
      </c>
      <c r="B396">
        <f>Crowdfunding!H714</f>
        <v>202</v>
      </c>
    </row>
    <row r="397" spans="1:2" x14ac:dyDescent="0.25">
      <c r="A397" t="str">
        <f>Crowdfunding!G715</f>
        <v>successful</v>
      </c>
      <c r="B397">
        <f>Crowdfunding!H715</f>
        <v>103</v>
      </c>
    </row>
    <row r="398" spans="1:2" x14ac:dyDescent="0.25">
      <c r="A398" t="str">
        <f>Crowdfunding!G716</f>
        <v>successful</v>
      </c>
      <c r="B398">
        <f>Crowdfunding!H716</f>
        <v>1785</v>
      </c>
    </row>
    <row r="399" spans="1:2" x14ac:dyDescent="0.25">
      <c r="A399" t="str">
        <f>Crowdfunding!G718</f>
        <v>successful</v>
      </c>
      <c r="B399">
        <f>Crowdfunding!H718</f>
        <v>157</v>
      </c>
    </row>
    <row r="400" spans="1:2" x14ac:dyDescent="0.25">
      <c r="A400" t="str">
        <f>Crowdfunding!G719</f>
        <v>successful</v>
      </c>
      <c r="B400">
        <f>Crowdfunding!H719</f>
        <v>555</v>
      </c>
    </row>
    <row r="401" spans="1:2" x14ac:dyDescent="0.25">
      <c r="A401" t="str">
        <f>Crowdfunding!G720</f>
        <v>successful</v>
      </c>
      <c r="B401">
        <f>Crowdfunding!H720</f>
        <v>297</v>
      </c>
    </row>
    <row r="402" spans="1:2" x14ac:dyDescent="0.25">
      <c r="A402" t="str">
        <f>Crowdfunding!G721</f>
        <v>successful</v>
      </c>
      <c r="B402">
        <f>Crowdfunding!H721</f>
        <v>123</v>
      </c>
    </row>
    <row r="403" spans="1:2" x14ac:dyDescent="0.25">
      <c r="A403" t="str">
        <f>Crowdfunding!G724</f>
        <v>successful</v>
      </c>
      <c r="B403">
        <f>Crowdfunding!H724</f>
        <v>3036</v>
      </c>
    </row>
    <row r="404" spans="1:2" x14ac:dyDescent="0.25">
      <c r="A404" t="str">
        <f>Crowdfunding!G725</f>
        <v>successful</v>
      </c>
      <c r="B404">
        <f>Crowdfunding!H725</f>
        <v>144</v>
      </c>
    </row>
    <row r="405" spans="1:2" x14ac:dyDescent="0.25">
      <c r="A405" t="str">
        <f>Crowdfunding!G726</f>
        <v>successful</v>
      </c>
      <c r="B405">
        <f>Crowdfunding!H726</f>
        <v>121</v>
      </c>
    </row>
    <row r="406" spans="1:2" x14ac:dyDescent="0.25">
      <c r="A406" t="str">
        <f>Crowdfunding!G729</f>
        <v>successful</v>
      </c>
      <c r="B406">
        <f>Crowdfunding!H729</f>
        <v>181</v>
      </c>
    </row>
    <row r="407" spans="1:2" x14ac:dyDescent="0.25">
      <c r="A407" t="str">
        <f>Crowdfunding!G731</f>
        <v>successful</v>
      </c>
      <c r="B407">
        <f>Crowdfunding!H731</f>
        <v>122</v>
      </c>
    </row>
    <row r="408" spans="1:2" x14ac:dyDescent="0.25">
      <c r="A408" t="str">
        <f>Crowdfunding!G732</f>
        <v>successful</v>
      </c>
      <c r="B408">
        <f>Crowdfunding!H732</f>
        <v>1071</v>
      </c>
    </row>
    <row r="409" spans="1:2" x14ac:dyDescent="0.25">
      <c r="A409" t="str">
        <f>Crowdfunding!G735</f>
        <v>successful</v>
      </c>
      <c r="B409">
        <f>Crowdfunding!H735</f>
        <v>980</v>
      </c>
    </row>
    <row r="410" spans="1:2" x14ac:dyDescent="0.25">
      <c r="A410" t="str">
        <f>Crowdfunding!G736</f>
        <v>successful</v>
      </c>
      <c r="B410">
        <f>Crowdfunding!H736</f>
        <v>536</v>
      </c>
    </row>
    <row r="411" spans="1:2" x14ac:dyDescent="0.25">
      <c r="A411" t="str">
        <f>Crowdfunding!G737</f>
        <v>successful</v>
      </c>
      <c r="B411">
        <f>Crowdfunding!H737</f>
        <v>1991</v>
      </c>
    </row>
    <row r="412" spans="1:2" x14ac:dyDescent="0.25">
      <c r="A412" t="str">
        <f>Crowdfunding!G739</f>
        <v>successful</v>
      </c>
      <c r="B412">
        <f>Crowdfunding!H739</f>
        <v>180</v>
      </c>
    </row>
    <row r="413" spans="1:2" x14ac:dyDescent="0.25">
      <c r="A413" t="str">
        <f>Crowdfunding!G743</f>
        <v>successful</v>
      </c>
      <c r="B413">
        <f>Crowdfunding!H743</f>
        <v>130</v>
      </c>
    </row>
    <row r="414" spans="1:2" x14ac:dyDescent="0.25">
      <c r="A414" t="str">
        <f>Crowdfunding!G744</f>
        <v>successful</v>
      </c>
      <c r="B414">
        <f>Crowdfunding!H744</f>
        <v>122</v>
      </c>
    </row>
    <row r="415" spans="1:2" x14ac:dyDescent="0.25">
      <c r="A415" t="str">
        <f>Crowdfunding!G746</f>
        <v>successful</v>
      </c>
      <c r="B415">
        <f>Crowdfunding!H746</f>
        <v>140</v>
      </c>
    </row>
    <row r="416" spans="1:2" x14ac:dyDescent="0.25">
      <c r="A416" t="str">
        <f>Crowdfunding!G748</f>
        <v>successful</v>
      </c>
      <c r="B416">
        <f>Crowdfunding!H748</f>
        <v>3388</v>
      </c>
    </row>
    <row r="417" spans="1:2" x14ac:dyDescent="0.25">
      <c r="A417" t="str">
        <f>Crowdfunding!G749</f>
        <v>successful</v>
      </c>
      <c r="B417">
        <f>Crowdfunding!H749</f>
        <v>280</v>
      </c>
    </row>
    <row r="418" spans="1:2" x14ac:dyDescent="0.25">
      <c r="A418" t="str">
        <f>Crowdfunding!G751</f>
        <v>successful</v>
      </c>
      <c r="B418">
        <f>Crowdfunding!H751</f>
        <v>366</v>
      </c>
    </row>
    <row r="419" spans="1:2" x14ac:dyDescent="0.25">
      <c r="A419" t="str">
        <f>Crowdfunding!G753</f>
        <v>successful</v>
      </c>
      <c r="B419">
        <f>Crowdfunding!H753</f>
        <v>270</v>
      </c>
    </row>
    <row r="420" spans="1:2" x14ac:dyDescent="0.25">
      <c r="A420" t="str">
        <f>Crowdfunding!G755</f>
        <v>successful</v>
      </c>
      <c r="B420">
        <f>Crowdfunding!H755</f>
        <v>137</v>
      </c>
    </row>
    <row r="421" spans="1:2" x14ac:dyDescent="0.25">
      <c r="A421" t="str">
        <f>Crowdfunding!G756</f>
        <v>successful</v>
      </c>
      <c r="B421">
        <f>Crowdfunding!H756</f>
        <v>3205</v>
      </c>
    </row>
    <row r="422" spans="1:2" x14ac:dyDescent="0.25">
      <c r="A422" t="str">
        <f>Crowdfunding!G757</f>
        <v>successful</v>
      </c>
      <c r="B422">
        <f>Crowdfunding!H757</f>
        <v>288</v>
      </c>
    </row>
    <row r="423" spans="1:2" x14ac:dyDescent="0.25">
      <c r="A423" t="str">
        <f>Crowdfunding!G758</f>
        <v>successful</v>
      </c>
      <c r="B423">
        <f>Crowdfunding!H758</f>
        <v>148</v>
      </c>
    </row>
    <row r="424" spans="1:2" x14ac:dyDescent="0.25">
      <c r="A424" t="str">
        <f>Crowdfunding!G759</f>
        <v>successful</v>
      </c>
      <c r="B424">
        <f>Crowdfunding!H759</f>
        <v>114</v>
      </c>
    </row>
    <row r="425" spans="1:2" x14ac:dyDescent="0.25">
      <c r="A425" t="str">
        <f>Crowdfunding!G760</f>
        <v>successful</v>
      </c>
      <c r="B425">
        <f>Crowdfunding!H760</f>
        <v>1518</v>
      </c>
    </row>
    <row r="426" spans="1:2" x14ac:dyDescent="0.25">
      <c r="A426" t="str">
        <f>Crowdfunding!G763</f>
        <v>successful</v>
      </c>
      <c r="B426">
        <f>Crowdfunding!H763</f>
        <v>166</v>
      </c>
    </row>
    <row r="427" spans="1:2" x14ac:dyDescent="0.25">
      <c r="A427" t="str">
        <f>Crowdfunding!G764</f>
        <v>successful</v>
      </c>
      <c r="B427">
        <f>Crowdfunding!H764</f>
        <v>100</v>
      </c>
    </row>
    <row r="428" spans="1:2" x14ac:dyDescent="0.25">
      <c r="A428" t="str">
        <f>Crowdfunding!G765</f>
        <v>successful</v>
      </c>
      <c r="B428">
        <f>Crowdfunding!H765</f>
        <v>235</v>
      </c>
    </row>
    <row r="429" spans="1:2" x14ac:dyDescent="0.25">
      <c r="A429" t="str">
        <f>Crowdfunding!G766</f>
        <v>successful</v>
      </c>
      <c r="B429">
        <f>Crowdfunding!H766</f>
        <v>148</v>
      </c>
    </row>
    <row r="430" spans="1:2" x14ac:dyDescent="0.25">
      <c r="A430" t="str">
        <f>Crowdfunding!G767</f>
        <v>successful</v>
      </c>
      <c r="B430">
        <f>Crowdfunding!H767</f>
        <v>198</v>
      </c>
    </row>
    <row r="431" spans="1:2" x14ac:dyDescent="0.25">
      <c r="A431" t="str">
        <f>Crowdfunding!G770</f>
        <v>successful</v>
      </c>
      <c r="B431">
        <f>Crowdfunding!H770</f>
        <v>150</v>
      </c>
    </row>
    <row r="432" spans="1:2" x14ac:dyDescent="0.25">
      <c r="A432" t="str">
        <f>Crowdfunding!G772</f>
        <v>successful</v>
      </c>
      <c r="B432">
        <f>Crowdfunding!H772</f>
        <v>216</v>
      </c>
    </row>
    <row r="433" spans="1:2" x14ac:dyDescent="0.25">
      <c r="A433" t="str">
        <f>Crowdfunding!G774</f>
        <v>successful</v>
      </c>
      <c r="B433">
        <f>Crowdfunding!H774</f>
        <v>5139</v>
      </c>
    </row>
    <row r="434" spans="1:2" x14ac:dyDescent="0.25">
      <c r="A434" t="str">
        <f>Crowdfunding!G775</f>
        <v>successful</v>
      </c>
      <c r="B434">
        <f>Crowdfunding!H775</f>
        <v>2353</v>
      </c>
    </row>
    <row r="435" spans="1:2" x14ac:dyDescent="0.25">
      <c r="A435" t="str">
        <f>Crowdfunding!G776</f>
        <v>successful</v>
      </c>
      <c r="B435">
        <f>Crowdfunding!H776</f>
        <v>78</v>
      </c>
    </row>
    <row r="436" spans="1:2" x14ac:dyDescent="0.25">
      <c r="A436" t="str">
        <f>Crowdfunding!G780</f>
        <v>successful</v>
      </c>
      <c r="B436">
        <f>Crowdfunding!H780</f>
        <v>174</v>
      </c>
    </row>
    <row r="437" spans="1:2" x14ac:dyDescent="0.25">
      <c r="A437" t="str">
        <f>Crowdfunding!G782</f>
        <v>successful</v>
      </c>
      <c r="B437">
        <f>Crowdfunding!H782</f>
        <v>164</v>
      </c>
    </row>
    <row r="438" spans="1:2" x14ac:dyDescent="0.25">
      <c r="A438" t="str">
        <f>Crowdfunding!G784</f>
        <v>successful</v>
      </c>
      <c r="B438">
        <f>Crowdfunding!H784</f>
        <v>161</v>
      </c>
    </row>
    <row r="439" spans="1:2" x14ac:dyDescent="0.25">
      <c r="A439" t="str">
        <f>Crowdfunding!G785</f>
        <v>successful</v>
      </c>
      <c r="B439">
        <f>Crowdfunding!H785</f>
        <v>138</v>
      </c>
    </row>
    <row r="440" spans="1:2" x14ac:dyDescent="0.25">
      <c r="A440" t="str">
        <f>Crowdfunding!G786</f>
        <v>successful</v>
      </c>
      <c r="B440">
        <f>Crowdfunding!H786</f>
        <v>3308</v>
      </c>
    </row>
    <row r="441" spans="1:2" x14ac:dyDescent="0.25">
      <c r="A441" t="str">
        <f>Crowdfunding!G787</f>
        <v>successful</v>
      </c>
      <c r="B441">
        <f>Crowdfunding!H787</f>
        <v>127</v>
      </c>
    </row>
    <row r="442" spans="1:2" x14ac:dyDescent="0.25">
      <c r="A442" t="str">
        <f>Crowdfunding!G788</f>
        <v>successful</v>
      </c>
      <c r="B442">
        <f>Crowdfunding!H788</f>
        <v>207</v>
      </c>
    </row>
    <row r="443" spans="1:2" x14ac:dyDescent="0.25">
      <c r="A443" t="str">
        <f>Crowdfunding!G795</f>
        <v>successful</v>
      </c>
      <c r="B443">
        <f>Crowdfunding!H795</f>
        <v>181</v>
      </c>
    </row>
    <row r="444" spans="1:2" x14ac:dyDescent="0.25">
      <c r="A444" t="str">
        <f>Crowdfunding!G796</f>
        <v>successful</v>
      </c>
      <c r="B444">
        <f>Crowdfunding!H796</f>
        <v>110</v>
      </c>
    </row>
    <row r="445" spans="1:2" x14ac:dyDescent="0.25">
      <c r="A445" t="str">
        <f>Crowdfunding!G799</f>
        <v>successful</v>
      </c>
      <c r="B445">
        <f>Crowdfunding!H799</f>
        <v>185</v>
      </c>
    </row>
    <row r="446" spans="1:2" x14ac:dyDescent="0.25">
      <c r="A446" t="str">
        <f>Crowdfunding!G800</f>
        <v>successful</v>
      </c>
      <c r="B446">
        <f>Crowdfunding!H800</f>
        <v>121</v>
      </c>
    </row>
    <row r="447" spans="1:2" x14ac:dyDescent="0.25">
      <c r="A447" t="str">
        <f>Crowdfunding!G803</f>
        <v>successful</v>
      </c>
      <c r="B447">
        <f>Crowdfunding!H803</f>
        <v>106</v>
      </c>
    </row>
    <row r="448" spans="1:2" x14ac:dyDescent="0.25">
      <c r="A448" t="str">
        <f>Crowdfunding!G804</f>
        <v>successful</v>
      </c>
      <c r="B448">
        <f>Crowdfunding!H804</f>
        <v>142</v>
      </c>
    </row>
    <row r="449" spans="1:2" x14ac:dyDescent="0.25">
      <c r="A449" t="str">
        <f>Crowdfunding!G805</f>
        <v>successful</v>
      </c>
      <c r="B449">
        <f>Crowdfunding!H805</f>
        <v>233</v>
      </c>
    </row>
    <row r="450" spans="1:2" x14ac:dyDescent="0.25">
      <c r="A450" t="str">
        <f>Crowdfunding!G806</f>
        <v>successful</v>
      </c>
      <c r="B450">
        <f>Crowdfunding!H806</f>
        <v>218</v>
      </c>
    </row>
    <row r="451" spans="1:2" x14ac:dyDescent="0.25">
      <c r="A451" t="str">
        <f>Crowdfunding!G808</f>
        <v>successful</v>
      </c>
      <c r="B451">
        <f>Crowdfunding!H808</f>
        <v>76</v>
      </c>
    </row>
    <row r="452" spans="1:2" x14ac:dyDescent="0.25">
      <c r="A452" t="str">
        <f>Crowdfunding!G809</f>
        <v>successful</v>
      </c>
      <c r="B452">
        <f>Crowdfunding!H809</f>
        <v>43</v>
      </c>
    </row>
    <row r="453" spans="1:2" x14ac:dyDescent="0.25">
      <c r="A453" t="str">
        <f>Crowdfunding!G812</f>
        <v>successful</v>
      </c>
      <c r="B453">
        <f>Crowdfunding!H812</f>
        <v>221</v>
      </c>
    </row>
    <row r="454" spans="1:2" x14ac:dyDescent="0.25">
      <c r="A454" t="str">
        <f>Crowdfunding!G814</f>
        <v>successful</v>
      </c>
      <c r="B454">
        <f>Crowdfunding!H814</f>
        <v>2805</v>
      </c>
    </row>
    <row r="455" spans="1:2" x14ac:dyDescent="0.25">
      <c r="A455" t="str">
        <f>Crowdfunding!G815</f>
        <v>successful</v>
      </c>
      <c r="B455">
        <f>Crowdfunding!H815</f>
        <v>68</v>
      </c>
    </row>
    <row r="456" spans="1:2" x14ac:dyDescent="0.25">
      <c r="A456" t="str">
        <f>Crowdfunding!G817</f>
        <v>successful</v>
      </c>
      <c r="B456">
        <f>Crowdfunding!H817</f>
        <v>183</v>
      </c>
    </row>
    <row r="457" spans="1:2" x14ac:dyDescent="0.25">
      <c r="A457" t="str">
        <f>Crowdfunding!G818</f>
        <v>successful</v>
      </c>
      <c r="B457">
        <f>Crowdfunding!H818</f>
        <v>133</v>
      </c>
    </row>
    <row r="458" spans="1:2" x14ac:dyDescent="0.25">
      <c r="A458" t="str">
        <f>Crowdfunding!G819</f>
        <v>successful</v>
      </c>
      <c r="B458">
        <f>Crowdfunding!H819</f>
        <v>2489</v>
      </c>
    </row>
    <row r="459" spans="1:2" x14ac:dyDescent="0.25">
      <c r="A459" t="str">
        <f>Crowdfunding!G820</f>
        <v>successful</v>
      </c>
      <c r="B459">
        <f>Crowdfunding!H820</f>
        <v>69</v>
      </c>
    </row>
    <row r="460" spans="1:2" x14ac:dyDescent="0.25">
      <c r="A460" t="str">
        <f>Crowdfunding!G822</f>
        <v>successful</v>
      </c>
      <c r="B460">
        <f>Crowdfunding!H822</f>
        <v>279</v>
      </c>
    </row>
    <row r="461" spans="1:2" x14ac:dyDescent="0.25">
      <c r="A461" t="str">
        <f>Crowdfunding!G823</f>
        <v>successful</v>
      </c>
      <c r="B461">
        <f>Crowdfunding!H823</f>
        <v>210</v>
      </c>
    </row>
    <row r="462" spans="1:2" x14ac:dyDescent="0.25">
      <c r="A462" t="str">
        <f>Crowdfunding!G824</f>
        <v>successful</v>
      </c>
      <c r="B462">
        <f>Crowdfunding!H824</f>
        <v>2100</v>
      </c>
    </row>
    <row r="463" spans="1:2" x14ac:dyDescent="0.25">
      <c r="A463" t="str">
        <f>Crowdfunding!G825</f>
        <v>successful</v>
      </c>
      <c r="B463">
        <f>Crowdfunding!H825</f>
        <v>252</v>
      </c>
    </row>
    <row r="464" spans="1:2" x14ac:dyDescent="0.25">
      <c r="A464" t="str">
        <f>Crowdfunding!G826</f>
        <v>successful</v>
      </c>
      <c r="B464">
        <f>Crowdfunding!H826</f>
        <v>1280</v>
      </c>
    </row>
    <row r="465" spans="1:2" x14ac:dyDescent="0.25">
      <c r="A465" t="str">
        <f>Crowdfunding!G827</f>
        <v>successful</v>
      </c>
      <c r="B465">
        <f>Crowdfunding!H827</f>
        <v>157</v>
      </c>
    </row>
    <row r="466" spans="1:2" x14ac:dyDescent="0.25">
      <c r="A466" t="str">
        <f>Crowdfunding!G828</f>
        <v>successful</v>
      </c>
      <c r="B466">
        <f>Crowdfunding!H828</f>
        <v>194</v>
      </c>
    </row>
    <row r="467" spans="1:2" x14ac:dyDescent="0.25">
      <c r="A467" t="str">
        <f>Crowdfunding!G829</f>
        <v>successful</v>
      </c>
      <c r="B467">
        <f>Crowdfunding!H829</f>
        <v>82</v>
      </c>
    </row>
    <row r="468" spans="1:2" x14ac:dyDescent="0.25">
      <c r="A468" t="str">
        <f>Crowdfunding!G833</f>
        <v>successful</v>
      </c>
      <c r="B468">
        <f>Crowdfunding!H833</f>
        <v>4233</v>
      </c>
    </row>
    <row r="469" spans="1:2" x14ac:dyDescent="0.25">
      <c r="A469" t="str">
        <f>Crowdfunding!G834</f>
        <v>successful</v>
      </c>
      <c r="B469">
        <f>Crowdfunding!H834</f>
        <v>1297</v>
      </c>
    </row>
    <row r="470" spans="1:2" x14ac:dyDescent="0.25">
      <c r="A470" t="str">
        <f>Crowdfunding!G835</f>
        <v>successful</v>
      </c>
      <c r="B470">
        <f>Crowdfunding!H835</f>
        <v>165</v>
      </c>
    </row>
    <row r="471" spans="1:2" x14ac:dyDescent="0.25">
      <c r="A471" t="str">
        <f>Crowdfunding!G836</f>
        <v>successful</v>
      </c>
      <c r="B471">
        <f>Crowdfunding!H836</f>
        <v>119</v>
      </c>
    </row>
    <row r="472" spans="1:2" x14ac:dyDescent="0.25">
      <c r="A472" t="str">
        <f>Crowdfunding!G839</f>
        <v>successful</v>
      </c>
      <c r="B472">
        <f>Crowdfunding!H839</f>
        <v>1797</v>
      </c>
    </row>
    <row r="473" spans="1:2" x14ac:dyDescent="0.25">
      <c r="A473" t="str">
        <f>Crowdfunding!G840</f>
        <v>successful</v>
      </c>
      <c r="B473">
        <f>Crowdfunding!H840</f>
        <v>261</v>
      </c>
    </row>
    <row r="474" spans="1:2" x14ac:dyDescent="0.25">
      <c r="A474" t="str">
        <f>Crowdfunding!G841</f>
        <v>successful</v>
      </c>
      <c r="B474">
        <f>Crowdfunding!H841</f>
        <v>157</v>
      </c>
    </row>
    <row r="475" spans="1:2" x14ac:dyDescent="0.25">
      <c r="A475" t="str">
        <f>Crowdfunding!G842</f>
        <v>successful</v>
      </c>
      <c r="B475">
        <f>Crowdfunding!H842</f>
        <v>3533</v>
      </c>
    </row>
    <row r="476" spans="1:2" x14ac:dyDescent="0.25">
      <c r="A476" t="str">
        <f>Crowdfunding!G843</f>
        <v>successful</v>
      </c>
      <c r="B476">
        <f>Crowdfunding!H843</f>
        <v>155</v>
      </c>
    </row>
    <row r="477" spans="1:2" x14ac:dyDescent="0.25">
      <c r="A477" t="str">
        <f>Crowdfunding!G844</f>
        <v>successful</v>
      </c>
      <c r="B477">
        <f>Crowdfunding!H844</f>
        <v>132</v>
      </c>
    </row>
    <row r="478" spans="1:2" x14ac:dyDescent="0.25">
      <c r="A478" t="str">
        <f>Crowdfunding!G847</f>
        <v>successful</v>
      </c>
      <c r="B478">
        <f>Crowdfunding!H847</f>
        <v>1354</v>
      </c>
    </row>
    <row r="479" spans="1:2" x14ac:dyDescent="0.25">
      <c r="A479" t="str">
        <f>Crowdfunding!G848</f>
        <v>successful</v>
      </c>
      <c r="B479">
        <f>Crowdfunding!H848</f>
        <v>48</v>
      </c>
    </row>
    <row r="480" spans="1:2" x14ac:dyDescent="0.25">
      <c r="A480" t="str">
        <f>Crowdfunding!G849</f>
        <v>successful</v>
      </c>
      <c r="B480">
        <f>Crowdfunding!H849</f>
        <v>110</v>
      </c>
    </row>
    <row r="481" spans="1:2" x14ac:dyDescent="0.25">
      <c r="A481" t="str">
        <f>Crowdfunding!G850</f>
        <v>successful</v>
      </c>
      <c r="B481">
        <f>Crowdfunding!H850</f>
        <v>172</v>
      </c>
    </row>
    <row r="482" spans="1:2" x14ac:dyDescent="0.25">
      <c r="A482" t="str">
        <f>Crowdfunding!G851</f>
        <v>successful</v>
      </c>
      <c r="B482">
        <f>Crowdfunding!H851</f>
        <v>307</v>
      </c>
    </row>
    <row r="483" spans="1:2" x14ac:dyDescent="0.25">
      <c r="A483" t="str">
        <f>Crowdfunding!G853</f>
        <v>successful</v>
      </c>
      <c r="B483">
        <f>Crowdfunding!H853</f>
        <v>160</v>
      </c>
    </row>
    <row r="484" spans="1:2" x14ac:dyDescent="0.25">
      <c r="A484" t="str">
        <f>Crowdfunding!G855</f>
        <v>successful</v>
      </c>
      <c r="B484">
        <f>Crowdfunding!H855</f>
        <v>1467</v>
      </c>
    </row>
    <row r="485" spans="1:2" x14ac:dyDescent="0.25">
      <c r="A485" t="str">
        <f>Crowdfunding!G856</f>
        <v>successful</v>
      </c>
      <c r="B485">
        <f>Crowdfunding!H856</f>
        <v>2662</v>
      </c>
    </row>
    <row r="486" spans="1:2" x14ac:dyDescent="0.25">
      <c r="A486" t="str">
        <f>Crowdfunding!G857</f>
        <v>successful</v>
      </c>
      <c r="B486">
        <f>Crowdfunding!H857</f>
        <v>452</v>
      </c>
    </row>
    <row r="487" spans="1:2" x14ac:dyDescent="0.25">
      <c r="A487" t="str">
        <f>Crowdfunding!G858</f>
        <v>successful</v>
      </c>
      <c r="B487">
        <f>Crowdfunding!H858</f>
        <v>158</v>
      </c>
    </row>
    <row r="488" spans="1:2" x14ac:dyDescent="0.25">
      <c r="A488" t="str">
        <f>Crowdfunding!G859</f>
        <v>successful</v>
      </c>
      <c r="B488">
        <f>Crowdfunding!H859</f>
        <v>225</v>
      </c>
    </row>
    <row r="489" spans="1:2" x14ac:dyDescent="0.25">
      <c r="A489" t="str">
        <f>Crowdfunding!G862</f>
        <v>successful</v>
      </c>
      <c r="B489">
        <f>Crowdfunding!H862</f>
        <v>65</v>
      </c>
    </row>
    <row r="490" spans="1:2" x14ac:dyDescent="0.25">
      <c r="A490" t="str">
        <f>Crowdfunding!G863</f>
        <v>successful</v>
      </c>
      <c r="B490">
        <f>Crowdfunding!H863</f>
        <v>163</v>
      </c>
    </row>
    <row r="491" spans="1:2" x14ac:dyDescent="0.25">
      <c r="A491" t="str">
        <f>Crowdfunding!G864</f>
        <v>successful</v>
      </c>
      <c r="B491">
        <f>Crowdfunding!H864</f>
        <v>85</v>
      </c>
    </row>
    <row r="492" spans="1:2" x14ac:dyDescent="0.25">
      <c r="A492" t="str">
        <f>Crowdfunding!G865</f>
        <v>successful</v>
      </c>
      <c r="B492">
        <f>Crowdfunding!H865</f>
        <v>217</v>
      </c>
    </row>
    <row r="493" spans="1:2" x14ac:dyDescent="0.25">
      <c r="A493" t="str">
        <f>Crowdfunding!G866</f>
        <v>successful</v>
      </c>
      <c r="B493">
        <f>Crowdfunding!H866</f>
        <v>150</v>
      </c>
    </row>
    <row r="494" spans="1:2" x14ac:dyDescent="0.25">
      <c r="A494" t="str">
        <f>Crowdfunding!G867</f>
        <v>successful</v>
      </c>
      <c r="B494">
        <f>Crowdfunding!H867</f>
        <v>3272</v>
      </c>
    </row>
    <row r="495" spans="1:2" x14ac:dyDescent="0.25">
      <c r="A495" t="str">
        <f>Crowdfunding!G869</f>
        <v>successful</v>
      </c>
      <c r="B495">
        <f>Crowdfunding!H869</f>
        <v>300</v>
      </c>
    </row>
    <row r="496" spans="1:2" x14ac:dyDescent="0.25">
      <c r="A496" t="str">
        <f>Crowdfunding!G870</f>
        <v>successful</v>
      </c>
      <c r="B496">
        <f>Crowdfunding!H870</f>
        <v>126</v>
      </c>
    </row>
    <row r="497" spans="1:2" x14ac:dyDescent="0.25">
      <c r="A497" t="str">
        <f>Crowdfunding!G873</f>
        <v>successful</v>
      </c>
      <c r="B497">
        <f>Crowdfunding!H873</f>
        <v>2320</v>
      </c>
    </row>
    <row r="498" spans="1:2" x14ac:dyDescent="0.25">
      <c r="A498" t="str">
        <f>Crowdfunding!G874</f>
        <v>successful</v>
      </c>
      <c r="B498">
        <f>Crowdfunding!H874</f>
        <v>81</v>
      </c>
    </row>
    <row r="499" spans="1:2" x14ac:dyDescent="0.25">
      <c r="A499" t="str">
        <f>Crowdfunding!G875</f>
        <v>successful</v>
      </c>
      <c r="B499">
        <f>Crowdfunding!H875</f>
        <v>1887</v>
      </c>
    </row>
    <row r="500" spans="1:2" x14ac:dyDescent="0.25">
      <c r="A500" t="str">
        <f>Crowdfunding!G876</f>
        <v>successful</v>
      </c>
      <c r="B500">
        <f>Crowdfunding!H876</f>
        <v>4358</v>
      </c>
    </row>
    <row r="501" spans="1:2" x14ac:dyDescent="0.25">
      <c r="A501" t="str">
        <f>Crowdfunding!G881</f>
        <v>successful</v>
      </c>
      <c r="B501">
        <f>Crowdfunding!H881</f>
        <v>53</v>
      </c>
    </row>
    <row r="502" spans="1:2" x14ac:dyDescent="0.25">
      <c r="A502" t="str">
        <f>Crowdfunding!G882</f>
        <v>successful</v>
      </c>
      <c r="B502">
        <f>Crowdfunding!H882</f>
        <v>2414</v>
      </c>
    </row>
    <row r="503" spans="1:2" x14ac:dyDescent="0.25">
      <c r="A503" t="str">
        <f>Crowdfunding!G884</f>
        <v>successful</v>
      </c>
      <c r="B503">
        <f>Crowdfunding!H884</f>
        <v>80</v>
      </c>
    </row>
    <row r="504" spans="1:2" x14ac:dyDescent="0.25">
      <c r="A504" t="str">
        <f>Crowdfunding!G885</f>
        <v>successful</v>
      </c>
      <c r="B504">
        <f>Crowdfunding!H885</f>
        <v>193</v>
      </c>
    </row>
    <row r="505" spans="1:2" x14ac:dyDescent="0.25">
      <c r="A505" t="str">
        <f>Crowdfunding!G887</f>
        <v>successful</v>
      </c>
      <c r="B505">
        <f>Crowdfunding!H887</f>
        <v>52</v>
      </c>
    </row>
    <row r="506" spans="1:2" x14ac:dyDescent="0.25">
      <c r="A506" t="str">
        <f>Crowdfunding!G890</f>
        <v>successful</v>
      </c>
      <c r="B506">
        <f>Crowdfunding!H890</f>
        <v>290</v>
      </c>
    </row>
    <row r="507" spans="1:2" x14ac:dyDescent="0.25">
      <c r="A507" t="str">
        <f>Crowdfunding!G891</f>
        <v>successful</v>
      </c>
      <c r="B507">
        <f>Crowdfunding!H891</f>
        <v>122</v>
      </c>
    </row>
    <row r="508" spans="1:2" x14ac:dyDescent="0.25">
      <c r="A508" t="str">
        <f>Crowdfunding!G892</f>
        <v>successful</v>
      </c>
      <c r="B508">
        <f>Crowdfunding!H892</f>
        <v>1470</v>
      </c>
    </row>
    <row r="509" spans="1:2" x14ac:dyDescent="0.25">
      <c r="A509" t="str">
        <f>Crowdfunding!G893</f>
        <v>successful</v>
      </c>
      <c r="B509">
        <f>Crowdfunding!H893</f>
        <v>165</v>
      </c>
    </row>
    <row r="510" spans="1:2" x14ac:dyDescent="0.25">
      <c r="A510" t="str">
        <f>Crowdfunding!G894</f>
        <v>successful</v>
      </c>
      <c r="B510">
        <f>Crowdfunding!H894</f>
        <v>182</v>
      </c>
    </row>
    <row r="511" spans="1:2" x14ac:dyDescent="0.25">
      <c r="A511" t="str">
        <f>Crowdfunding!G895</f>
        <v>successful</v>
      </c>
      <c r="B511">
        <f>Crowdfunding!H895</f>
        <v>199</v>
      </c>
    </row>
    <row r="512" spans="1:2" x14ac:dyDescent="0.25">
      <c r="A512" t="str">
        <f>Crowdfunding!G896</f>
        <v>successful</v>
      </c>
      <c r="B512">
        <f>Crowdfunding!H896</f>
        <v>56</v>
      </c>
    </row>
    <row r="513" spans="1:2" x14ac:dyDescent="0.25">
      <c r="A513" t="str">
        <f>Crowdfunding!G898</f>
        <v>successful</v>
      </c>
      <c r="B513">
        <f>Crowdfunding!H898</f>
        <v>1460</v>
      </c>
    </row>
    <row r="514" spans="1:2" x14ac:dyDescent="0.25">
      <c r="A514" t="str">
        <f>Crowdfunding!G901</f>
        <v>successful</v>
      </c>
      <c r="B514">
        <f>Crowdfunding!H901</f>
        <v>123</v>
      </c>
    </row>
    <row r="515" spans="1:2" x14ac:dyDescent="0.25">
      <c r="A515" t="str">
        <f>Crowdfunding!G903</f>
        <v>successful</v>
      </c>
      <c r="B515">
        <f>Crowdfunding!H903</f>
        <v>159</v>
      </c>
    </row>
    <row r="516" spans="1:2" x14ac:dyDescent="0.25">
      <c r="A516" t="str">
        <f>Crowdfunding!G904</f>
        <v>successful</v>
      </c>
      <c r="B516">
        <f>Crowdfunding!H904</f>
        <v>110</v>
      </c>
    </row>
    <row r="517" spans="1:2" x14ac:dyDescent="0.25">
      <c r="A517" t="str">
        <f>Crowdfunding!G907</f>
        <v>successful</v>
      </c>
      <c r="B517">
        <f>Crowdfunding!H907</f>
        <v>236</v>
      </c>
    </row>
    <row r="518" spans="1:2" x14ac:dyDescent="0.25">
      <c r="A518" t="str">
        <f>Crowdfunding!G908</f>
        <v>successful</v>
      </c>
      <c r="B518">
        <f>Crowdfunding!H908</f>
        <v>191</v>
      </c>
    </row>
    <row r="519" spans="1:2" x14ac:dyDescent="0.25">
      <c r="A519" t="str">
        <f>Crowdfunding!G910</f>
        <v>successful</v>
      </c>
      <c r="B519">
        <f>Crowdfunding!H910</f>
        <v>3934</v>
      </c>
    </row>
    <row r="520" spans="1:2" x14ac:dyDescent="0.25">
      <c r="A520" t="str">
        <f>Crowdfunding!G911</f>
        <v>successful</v>
      </c>
      <c r="B520">
        <f>Crowdfunding!H911</f>
        <v>80</v>
      </c>
    </row>
    <row r="521" spans="1:2" x14ac:dyDescent="0.25">
      <c r="A521" t="str">
        <f>Crowdfunding!G913</f>
        <v>successful</v>
      </c>
      <c r="B521">
        <f>Crowdfunding!H913</f>
        <v>462</v>
      </c>
    </row>
    <row r="522" spans="1:2" x14ac:dyDescent="0.25">
      <c r="A522" t="str">
        <f>Crowdfunding!G914</f>
        <v>successful</v>
      </c>
      <c r="B522">
        <f>Crowdfunding!H914</f>
        <v>179</v>
      </c>
    </row>
    <row r="523" spans="1:2" x14ac:dyDescent="0.25">
      <c r="A523" t="str">
        <f>Crowdfunding!G917</f>
        <v>successful</v>
      </c>
      <c r="B523">
        <f>Crowdfunding!H917</f>
        <v>1866</v>
      </c>
    </row>
    <row r="524" spans="1:2" x14ac:dyDescent="0.25">
      <c r="A524" t="str">
        <f>Crowdfunding!G920</f>
        <v>successful</v>
      </c>
      <c r="B524">
        <f>Crowdfunding!H920</f>
        <v>156</v>
      </c>
    </row>
    <row r="525" spans="1:2" x14ac:dyDescent="0.25">
      <c r="A525" t="str">
        <f>Crowdfunding!G922</f>
        <v>successful</v>
      </c>
      <c r="B525">
        <f>Crowdfunding!H922</f>
        <v>255</v>
      </c>
    </row>
    <row r="526" spans="1:2" x14ac:dyDescent="0.25">
      <c r="A526" t="str">
        <f>Crowdfunding!G924</f>
        <v>successful</v>
      </c>
      <c r="B526">
        <f>Crowdfunding!H924</f>
        <v>2261</v>
      </c>
    </row>
    <row r="527" spans="1:2" x14ac:dyDescent="0.25">
      <c r="A527" t="str">
        <f>Crowdfunding!G925</f>
        <v>successful</v>
      </c>
      <c r="B527">
        <f>Crowdfunding!H925</f>
        <v>40</v>
      </c>
    </row>
    <row r="528" spans="1:2" x14ac:dyDescent="0.25">
      <c r="A528" t="str">
        <f>Crowdfunding!G926</f>
        <v>successful</v>
      </c>
      <c r="B528">
        <f>Crowdfunding!H926</f>
        <v>2289</v>
      </c>
    </row>
    <row r="529" spans="1:2" x14ac:dyDescent="0.25">
      <c r="A529" t="str">
        <f>Crowdfunding!G927</f>
        <v>successful</v>
      </c>
      <c r="B529">
        <f>Crowdfunding!H927</f>
        <v>65</v>
      </c>
    </row>
    <row r="530" spans="1:2" x14ac:dyDescent="0.25">
      <c r="A530" t="str">
        <f>Crowdfunding!G930</f>
        <v>successful</v>
      </c>
      <c r="B530">
        <f>Crowdfunding!H930</f>
        <v>3777</v>
      </c>
    </row>
    <row r="531" spans="1:2" x14ac:dyDescent="0.25">
      <c r="A531" t="str">
        <f>Crowdfunding!G931</f>
        <v>successful</v>
      </c>
      <c r="B531">
        <f>Crowdfunding!H931</f>
        <v>184</v>
      </c>
    </row>
    <row r="532" spans="1:2" x14ac:dyDescent="0.25">
      <c r="A532" t="str">
        <f>Crowdfunding!G932</f>
        <v>successful</v>
      </c>
      <c r="B532">
        <f>Crowdfunding!H932</f>
        <v>85</v>
      </c>
    </row>
    <row r="533" spans="1:2" x14ac:dyDescent="0.25">
      <c r="A533" t="str">
        <f>Crowdfunding!G934</f>
        <v>successful</v>
      </c>
      <c r="B533">
        <f>Crowdfunding!H934</f>
        <v>144</v>
      </c>
    </row>
    <row r="534" spans="1:2" x14ac:dyDescent="0.25">
      <c r="A534" t="str">
        <f>Crowdfunding!G935</f>
        <v>successful</v>
      </c>
      <c r="B534">
        <f>Crowdfunding!H935</f>
        <v>1902</v>
      </c>
    </row>
    <row r="535" spans="1:2" x14ac:dyDescent="0.25">
      <c r="A535" t="str">
        <f>Crowdfunding!G936</f>
        <v>successful</v>
      </c>
      <c r="B535">
        <f>Crowdfunding!H936</f>
        <v>105</v>
      </c>
    </row>
    <row r="536" spans="1:2" x14ac:dyDescent="0.25">
      <c r="A536" t="str">
        <f>Crowdfunding!G937</f>
        <v>successful</v>
      </c>
      <c r="B536">
        <f>Crowdfunding!H937</f>
        <v>132</v>
      </c>
    </row>
    <row r="537" spans="1:2" x14ac:dyDescent="0.25">
      <c r="A537" t="str">
        <f>Crowdfunding!G940</f>
        <v>successful</v>
      </c>
      <c r="B537">
        <f>Crowdfunding!H940</f>
        <v>96</v>
      </c>
    </row>
    <row r="538" spans="1:2" x14ac:dyDescent="0.25">
      <c r="A538" t="str">
        <f>Crowdfunding!G945</f>
        <v>successful</v>
      </c>
      <c r="B538">
        <f>Crowdfunding!H945</f>
        <v>114</v>
      </c>
    </row>
    <row r="539" spans="1:2" x14ac:dyDescent="0.25">
      <c r="A539" t="str">
        <f>Crowdfunding!G951</f>
        <v>successful</v>
      </c>
      <c r="B539">
        <f>Crowdfunding!H951</f>
        <v>203</v>
      </c>
    </row>
    <row r="540" spans="1:2" x14ac:dyDescent="0.25">
      <c r="A540" t="str">
        <f>Crowdfunding!G953</f>
        <v>successful</v>
      </c>
      <c r="B540">
        <f>Crowdfunding!H953</f>
        <v>1559</v>
      </c>
    </row>
    <row r="541" spans="1:2" x14ac:dyDescent="0.25">
      <c r="A541" t="str">
        <f>Crowdfunding!G956</f>
        <v>successful</v>
      </c>
      <c r="B541">
        <f>Crowdfunding!H956</f>
        <v>1548</v>
      </c>
    </row>
    <row r="542" spans="1:2" x14ac:dyDescent="0.25">
      <c r="A542" t="str">
        <f>Crowdfunding!G957</f>
        <v>successful</v>
      </c>
      <c r="B542">
        <f>Crowdfunding!H957</f>
        <v>80</v>
      </c>
    </row>
    <row r="543" spans="1:2" x14ac:dyDescent="0.25">
      <c r="A543" t="str">
        <f>Crowdfunding!G959</f>
        <v>successful</v>
      </c>
      <c r="B543">
        <f>Crowdfunding!H959</f>
        <v>131</v>
      </c>
    </row>
    <row r="544" spans="1:2" x14ac:dyDescent="0.25">
      <c r="A544" t="str">
        <f>Crowdfunding!G960</f>
        <v>successful</v>
      </c>
      <c r="B544">
        <f>Crowdfunding!H960</f>
        <v>112</v>
      </c>
    </row>
    <row r="545" spans="1:2" x14ac:dyDescent="0.25">
      <c r="A545" t="str">
        <f>Crowdfunding!G963</f>
        <v>successful</v>
      </c>
      <c r="B545">
        <f>Crowdfunding!H963</f>
        <v>155</v>
      </c>
    </row>
    <row r="546" spans="1:2" x14ac:dyDescent="0.25">
      <c r="A546" t="str">
        <f>Crowdfunding!G964</f>
        <v>successful</v>
      </c>
      <c r="B546">
        <f>Crowdfunding!H964</f>
        <v>266</v>
      </c>
    </row>
    <row r="547" spans="1:2" x14ac:dyDescent="0.25">
      <c r="A547" t="str">
        <f>Crowdfunding!G966</f>
        <v>successful</v>
      </c>
      <c r="B547">
        <f>Crowdfunding!H966</f>
        <v>155</v>
      </c>
    </row>
    <row r="548" spans="1:2" x14ac:dyDescent="0.25">
      <c r="A548" t="str">
        <f>Crowdfunding!G967</f>
        <v>successful</v>
      </c>
      <c r="B548">
        <f>Crowdfunding!H967</f>
        <v>207</v>
      </c>
    </row>
    <row r="549" spans="1:2" x14ac:dyDescent="0.25">
      <c r="A549" t="str">
        <f>Crowdfunding!G968</f>
        <v>successful</v>
      </c>
      <c r="B549">
        <f>Crowdfunding!H968</f>
        <v>245</v>
      </c>
    </row>
    <row r="550" spans="1:2" x14ac:dyDescent="0.25">
      <c r="A550" t="str">
        <f>Crowdfunding!G969</f>
        <v>successful</v>
      </c>
      <c r="B550">
        <f>Crowdfunding!H969</f>
        <v>1573</v>
      </c>
    </row>
    <row r="551" spans="1:2" x14ac:dyDescent="0.25">
      <c r="A551" t="str">
        <f>Crowdfunding!G970</f>
        <v>successful</v>
      </c>
      <c r="B551">
        <f>Crowdfunding!H970</f>
        <v>114</v>
      </c>
    </row>
    <row r="552" spans="1:2" x14ac:dyDescent="0.25">
      <c r="A552" t="str">
        <f>Crowdfunding!G971</f>
        <v>successful</v>
      </c>
      <c r="B552">
        <f>Crowdfunding!H971</f>
        <v>93</v>
      </c>
    </row>
    <row r="553" spans="1:2" x14ac:dyDescent="0.25">
      <c r="A553" t="str">
        <f>Crowdfunding!G974</f>
        <v>successful</v>
      </c>
      <c r="B553">
        <f>Crowdfunding!H974</f>
        <v>1681</v>
      </c>
    </row>
    <row r="554" spans="1:2" x14ac:dyDescent="0.25">
      <c r="A554" t="str">
        <f>Crowdfunding!G976</f>
        <v>successful</v>
      </c>
      <c r="B554">
        <f>Crowdfunding!H976</f>
        <v>32</v>
      </c>
    </row>
    <row r="555" spans="1:2" x14ac:dyDescent="0.25">
      <c r="A555" t="str">
        <f>Crowdfunding!G977</f>
        <v>successful</v>
      </c>
      <c r="B555">
        <f>Crowdfunding!H977</f>
        <v>135</v>
      </c>
    </row>
    <row r="556" spans="1:2" x14ac:dyDescent="0.25">
      <c r="A556" t="str">
        <f>Crowdfunding!G978</f>
        <v>successful</v>
      </c>
      <c r="B556">
        <f>Crowdfunding!H978</f>
        <v>140</v>
      </c>
    </row>
    <row r="557" spans="1:2" x14ac:dyDescent="0.25">
      <c r="A557" t="str">
        <f>Crowdfunding!G980</f>
        <v>successful</v>
      </c>
      <c r="B557">
        <f>Crowdfunding!H980</f>
        <v>92</v>
      </c>
    </row>
    <row r="558" spans="1:2" x14ac:dyDescent="0.25">
      <c r="A558" t="str">
        <f>Crowdfunding!G981</f>
        <v>successful</v>
      </c>
      <c r="B558">
        <f>Crowdfunding!H981</f>
        <v>1015</v>
      </c>
    </row>
    <row r="559" spans="1:2" x14ac:dyDescent="0.25">
      <c r="A559" t="str">
        <f>Crowdfunding!G983</f>
        <v>successful</v>
      </c>
      <c r="B559">
        <f>Crowdfunding!H983</f>
        <v>323</v>
      </c>
    </row>
    <row r="560" spans="1:2" x14ac:dyDescent="0.25">
      <c r="A560" t="str">
        <f>Crowdfunding!G985</f>
        <v>successful</v>
      </c>
      <c r="B560">
        <f>Crowdfunding!H985</f>
        <v>2326</v>
      </c>
    </row>
    <row r="561" spans="1:2" x14ac:dyDescent="0.25">
      <c r="A561" t="str">
        <f>Crowdfunding!G986</f>
        <v>successful</v>
      </c>
      <c r="B561">
        <f>Crowdfunding!H986</f>
        <v>381</v>
      </c>
    </row>
    <row r="562" spans="1:2" x14ac:dyDescent="0.25">
      <c r="A562" t="str">
        <f>Crowdfunding!G989</f>
        <v>successful</v>
      </c>
      <c r="B562">
        <f>Crowdfunding!H989</f>
        <v>480</v>
      </c>
    </row>
    <row r="563" spans="1:2" x14ac:dyDescent="0.25">
      <c r="A563" t="str">
        <f>Crowdfunding!G991</f>
        <v>successful</v>
      </c>
      <c r="B563">
        <f>Crowdfunding!H991</f>
        <v>226</v>
      </c>
    </row>
    <row r="564" spans="1:2" x14ac:dyDescent="0.25">
      <c r="A564" t="str">
        <f>Crowdfunding!G993</f>
        <v>successful</v>
      </c>
      <c r="B564">
        <f>Crowdfunding!H993</f>
        <v>241</v>
      </c>
    </row>
    <row r="565" spans="1:2" x14ac:dyDescent="0.25">
      <c r="A565" t="str">
        <f>Crowdfunding!G994</f>
        <v>successful</v>
      </c>
      <c r="B565">
        <f>Crowdfunding!H994</f>
        <v>132</v>
      </c>
    </row>
    <row r="566" spans="1:2" x14ac:dyDescent="0.25">
      <c r="A566" t="str">
        <f>Crowdfunding!G997</f>
        <v>successful</v>
      </c>
      <c r="B566">
        <f>Crowdfunding!H997</f>
        <v>2043</v>
      </c>
    </row>
  </sheetData>
  <conditionalFormatting sqref="E2:E365">
    <cfRule type="cellIs" dxfId="7" priority="6" operator="equal">
      <formula>"live"</formula>
    </cfRule>
    <cfRule type="cellIs" dxfId="6" priority="7" operator="equal">
      <formula>"successful"</formula>
    </cfRule>
    <cfRule type="cellIs" dxfId="5" priority="8" operator="equal">
      <formula>"failed"</formula>
    </cfRule>
  </conditionalFormatting>
  <conditionalFormatting sqref="E2:E365">
    <cfRule type="cellIs" dxfId="4" priority="5" operator="equal">
      <formula>"canceled"</formula>
    </cfRule>
  </conditionalFormatting>
  <conditionalFormatting sqref="A2:A566">
    <cfRule type="cellIs" dxfId="3" priority="2" operator="equal">
      <formula>"live"</formula>
    </cfRule>
    <cfRule type="cellIs" dxfId="2" priority="3" operator="equal">
      <formula>"successful"</formula>
    </cfRule>
    <cfRule type="cellIs" dxfId="1" priority="4" operator="equal">
      <formula>"failed"</formula>
    </cfRule>
  </conditionalFormatting>
  <conditionalFormatting sqref="A2:A566">
    <cfRule type="cellIs" dxfId="0" priority="1" operator="equal">
      <formula>"canceled"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Crowdfunding</vt:lpstr>
      <vt:lpstr>Statistical AnalysisOutcome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Jeff Hendricks</cp:lastModifiedBy>
  <dcterms:created xsi:type="dcterms:W3CDTF">2021-09-29T18:52:28Z</dcterms:created>
  <dcterms:modified xsi:type="dcterms:W3CDTF">2024-10-04T02:10:41Z</dcterms:modified>
</cp:coreProperties>
</file>